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机事件库" sheetId="1" state="visible" r:id="rId1"/>
    <sheet name="纪事日志其它来源" sheetId="2" state="visible" r:id="rId2"/>
    <sheet name="事件机制说明" sheetId="3" state="visible" r:id="rId3"/>
  </sheets>
  <definedNames>
    <definedName name="_xlnm._FilterDatabase" localSheetId="0" hidden="1">'随机事件库'!$A$2:$J$52</definedName>
    <definedName name="_xlnm._FilterDatabase" localSheetId="1" hidden="1">'纪事日志其它来源'!$A$2:$F$31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b val="1"/>
      <color rgb="FFFFFFFF"/>
      <sz val="13"/>
    </font>
    <font>
      <name val="微软雅黑"/>
      <b val="1"/>
      <color rgb="FF1A1A1A"/>
      <sz val="10"/>
    </font>
    <font>
      <name val="微软雅黑"/>
      <color rgb="FF1A1A1A"/>
      <sz val="10"/>
    </font>
  </fonts>
  <fills count="5">
    <fill>
      <patternFill/>
    </fill>
    <fill>
      <patternFill patternType="gray125"/>
    </fill>
    <fill>
      <patternFill patternType="solid">
        <fgColor rgb="FF3C3C3C"/>
      </patternFill>
    </fill>
    <fill>
      <patternFill patternType="solid">
        <fgColor rgb="FFF2F2F2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name val="微软雅黑"/>
        <b val="1"/>
        <color rgb="FF006100"/>
        <sz val="10"/>
      </font>
      <fill>
        <patternFill patternType="solid">
          <fgColor rgb="FFC6EFCE"/>
        </patternFill>
      </fill>
    </dxf>
    <dxf>
      <font>
        <name val="微软雅黑"/>
        <b val="1"/>
        <color rgb="FF9C0006"/>
        <sz val="10"/>
      </font>
      <fill>
        <patternFill patternType="solid">
          <fgColor rgb="FFFFC7CE"/>
        </patternFill>
      </fill>
    </dxf>
    <dxf>
      <font>
        <name val="微软雅黑"/>
        <b val="1"/>
        <color rgb="FF9C6500"/>
        <sz val="10"/>
      </font>
      <fill>
        <patternFill patternType="solid">
          <fgColor rgb="FFFFEB9C"/>
        </patternFill>
      </fill>
    </dxf>
    <dxf>
      <font>
        <name val="微软雅黑"/>
        <b val="1"/>
        <color rgb="FF1F4E79"/>
        <sz val="9"/>
      </font>
      <fill>
        <patternFill patternType="solid">
          <fgColor rgb="FFDDEBF7"/>
        </patternFill>
      </fill>
    </dxf>
    <dxf>
      <font>
        <name val="微软雅黑"/>
        <b val="1"/>
        <color rgb="FF6E6E6E"/>
        <sz val="9"/>
      </font>
      <fill>
        <patternFill patternType="solid">
          <f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6" customWidth="1" min="3" max="3"/>
    <col width="9" customWidth="1" min="4" max="4"/>
    <col width="58" customWidth="1" min="5" max="5"/>
    <col width="30" customWidth="1" min="6" max="6"/>
    <col width="42" customWidth="1" min="7" max="7"/>
    <col width="11" customWidth="1" min="8" max="8"/>
    <col width="44" customWidth="1" min="9" max="9"/>
    <col width="13" customWidth="1" min="10" max="10"/>
  </cols>
  <sheetData>
    <row r="1" ht="26" customHeight="1">
      <c r="A1" s="1" t="inlineStr">
        <is>
          <t>修仙门派 · 随机事件库（每旬 28% 概率触发 1 次，共 50 条）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2" customHeight="1">
      <c r="A2" s="2" t="inlineStr">
        <is>
          <t>序号</t>
        </is>
      </c>
      <c r="B2" s="2" t="inlineStr">
        <is>
          <t>类别</t>
        </is>
      </c>
      <c r="C2" s="2" t="inlineStr">
        <is>
          <t>权重</t>
        </is>
      </c>
      <c r="D2" s="2" t="inlineStr">
        <is>
          <t>权重占比</t>
        </is>
      </c>
      <c r="E2" s="2" t="inlineStr">
        <is>
          <t>事件文案模板</t>
        </is>
      </c>
      <c r="F2" s="2" t="inlineStr">
        <is>
          <t>文案声明效果</t>
        </is>
      </c>
      <c r="G2" s="2" t="inlineStr">
        <is>
          <t>实际生效效果</t>
        </is>
      </c>
      <c r="H2" s="2" t="inlineStr">
        <is>
          <t>一致性</t>
        </is>
      </c>
      <c r="I2" s="2" t="inlineStr">
        <is>
          <t>说明</t>
        </is>
      </c>
      <c r="J2" s="2" t="inlineStr">
        <is>
          <t>来源</t>
        </is>
      </c>
    </row>
    <row r="3">
      <c r="A3" s="3" t="n">
        <v>1</v>
      </c>
      <c r="B3" s="4" t="inlineStr">
        <is>
          <t>吉</t>
        </is>
      </c>
      <c r="C3" s="5" t="n">
        <v>9</v>
      </c>
      <c r="D3" s="6">
        <f>IF(OR($C$53="",$C$53=0),"",C3/$C$53)</f>
        <v>0.041666666666666664</v>
      </c>
      <c r="E3" s="7" t="inlineStr">
        <is>
          <t>{n}于山涧拾得一枚无名种子，随手埋下，翌日竟生出灵芽。修炼速度 +2%</t>
        </is>
      </c>
      <c r="F3" s="7" t="inlineStr">
        <is>
          <t>修炼速度 +2%</t>
        </is>
      </c>
      <c r="G3" s="7" t="inlineStr">
        <is>
          <t>心情 +10；灵气回复率 +2%</t>
        </is>
      </c>
      <c r="H3" s="4" t="inlineStr">
        <is>
          <t>一致</t>
        </is>
      </c>
      <c r="I3" s="7" t="inlineStr">
        <is>
          <t>已调整（2026-09-12）：权重 6 → 9（×1.5），补回被扩容稀释的修炼类吉事件密度；文案未提及通用心情 +10</t>
        </is>
      </c>
      <c r="J3" s="4" t="inlineStr">
        <is>
          <t>字面匹配</t>
        </is>
      </c>
    </row>
    <row r="4">
      <c r="A4" s="3" t="n">
        <v>2</v>
      </c>
      <c r="B4" s="4" t="inlineStr">
        <is>
          <t>吉</t>
        </is>
      </c>
      <c r="C4" s="5" t="n">
        <v>9</v>
      </c>
      <c r="D4" s="6">
        <f>IF(OR($C$53="",$C$53=0),"",C4/$C$53)</f>
        <v>0.041666666666666664</v>
      </c>
      <c r="E4" s="7" t="inlineStr">
        <is>
          <t>{n}在旧书堆中翻出一卷残篇，参悟三日，若有所得。修炼速度 +3%</t>
        </is>
      </c>
      <c r="F4" s="7" t="inlineStr">
        <is>
          <t>修炼速度 +3%</t>
        </is>
      </c>
      <c r="G4" s="7" t="inlineStr">
        <is>
          <t>心情 +10；灵气回复率 +3%</t>
        </is>
      </c>
      <c r="H4" s="4" t="inlineStr">
        <is>
          <t>一致</t>
        </is>
      </c>
      <c r="I4" s="7" t="inlineStr">
        <is>
          <t>已调整（2026-09-12）：权重 6 → 9（×1.5），补回被扩容稀释的修炼类吉事件密度；文案未提及通用心情 +10</t>
        </is>
      </c>
      <c r="J4" s="4" t="inlineStr">
        <is>
          <t>字面匹配</t>
        </is>
      </c>
    </row>
    <row r="5">
      <c r="A5" s="3" t="n">
        <v>3</v>
      </c>
      <c r="B5" s="4" t="inlineStr">
        <is>
          <t>吉</t>
        </is>
      </c>
      <c r="C5" s="5" t="n">
        <v>8</v>
      </c>
      <c r="D5" s="6">
        <f>IF(OR($C$53="",$C$53=0),"",C5/$C$53)</f>
        <v>0.037037037037037035</v>
      </c>
      <c r="E5" s="7" t="inlineStr">
        <is>
          <t>{n}夜观星象，忽有所悟，头顶灵气如虹。修为 +{q}</t>
        </is>
      </c>
      <c r="F5" s="7" t="inlineStr">
        <is>
          <t>修为 +{q}（当前上限的 30%）</t>
        </is>
      </c>
      <c r="G5" s="7" t="inlineStr">
        <is>
          <t>心情 +10；当前修为 + 上限×30%</t>
        </is>
      </c>
      <c r="H5" s="4" t="inlineStr">
        <is>
          <t>一致</t>
        </is>
      </c>
      <c r="I5" s="7" t="inlineStr">
        <is>
          <t>已调整（2026-09-12）：权重 5 → 8（×1.5），补回被扩容稀释的修炼类吉事件密度；数值与文案一致</t>
        </is>
      </c>
      <c r="J5" s="4" t="inlineStr">
        <is>
          <t>字面匹配</t>
        </is>
      </c>
    </row>
    <row r="6">
      <c r="A6" s="3" t="n">
        <v>4</v>
      </c>
      <c r="B6" s="4" t="inlineStr">
        <is>
          <t>吉</t>
        </is>
      </c>
      <c r="C6" s="5" t="n">
        <v>5</v>
      </c>
      <c r="D6" s="6">
        <f>IF(OR($C$53="",$C$53=0),"",C6/$C$53)</f>
        <v>0.023148148148148147</v>
      </c>
      <c r="E6" s="7" t="inlineStr">
        <is>
          <t>{n}斩一恶蛟，取其筋为束带。武力 +一成（即 10%）</t>
        </is>
      </c>
      <c r="F6" s="7" t="inlineStr">
        <is>
          <t>武力 +10%（固定）</t>
        </is>
      </c>
      <c r="G6" s="7" t="inlineStr">
        <is>
          <t>心情 +10；武力加成 +10%</t>
        </is>
      </c>
      <c r="H6" s="4" t="inlineStr">
        <is>
          <t>一致</t>
        </is>
      </c>
      <c r="I6" s="7" t="inlineStr">
        <is>
          <t>已对齐（2026-09-12）：原写“武力 +{a}”却固定加 10% 百分比、与显示的数值无关；现直接写 +一成（即 10%）</t>
        </is>
      </c>
      <c r="J6" s="4" t="inlineStr">
        <is>
          <t>字面匹配</t>
        </is>
      </c>
    </row>
    <row r="7">
      <c r="A7" s="3" t="n">
        <v>5</v>
      </c>
      <c r="B7" s="4" t="inlineStr">
        <is>
          <t>吉</t>
        </is>
      </c>
      <c r="C7" s="5" t="n">
        <v>4</v>
      </c>
      <c r="D7" s="6">
        <f>IF(OR($C$53="",$C$53=0),"",C7/$C$53)</f>
        <v>0.018518518518518517</v>
      </c>
      <c r="E7" s="7" t="inlineStr">
        <is>
          <t>{n}误入前人洞府，得遗泽若干。灵石 +一笔（数目随缘）</t>
        </is>
      </c>
      <c r="F7" s="7" t="inlineStr">
        <is>
          <t>灵石 +一笔（数额不定）</t>
        </is>
      </c>
      <c r="G7" s="7" t="inlineStr">
        <is>
          <t>心情 +10；灵石 += 500~5000×(1+境界×2)</t>
        </is>
      </c>
      <c r="H7" s="4" t="inlineStr">
        <is>
          <t>一致</t>
        </is>
      </c>
      <c r="I7" s="7" t="inlineStr">
        <is>
          <t>已对齐（2026-09-12）：结算时会重新摇一次随机数，原文案展示的具体数字常与实际入账不符；现改为不承诺具体数额</t>
        </is>
      </c>
      <c r="J7" s="4" t="inlineStr">
        <is>
          <t>字面匹配</t>
        </is>
      </c>
    </row>
    <row r="8">
      <c r="A8" s="3" t="n">
        <v>6</v>
      </c>
      <c r="B8" s="4" t="inlineStr">
        <is>
          <t>吉</t>
        </is>
      </c>
      <c r="C8" s="5" t="n">
        <v>4</v>
      </c>
      <c r="D8" s="6">
        <f>IF(OR($C$53="",$C$53=0),"",C8/$C$53)</f>
        <v>0.018518518518518517</v>
      </c>
      <c r="E8" s="7" t="inlineStr">
        <is>
          <t>{n}于市集以三言两语点化一散修，对方感激之余赠以灵药。丹药 +1（随机一味）</t>
        </is>
      </c>
      <c r="F8" s="7" t="inlineStr">
        <is>
          <t>丹药 +1（随机一味）</t>
        </is>
      </c>
      <c r="G8" s="7" t="inlineStr">
        <is>
          <t>心情 +10；随机一种丹药（1~9 号）+1</t>
        </is>
      </c>
      <c r="H8" s="4" t="inlineStr">
        <is>
          <t>一致</t>
        </is>
      </c>
      <c r="I8" s="7" t="inlineStr">
        <is>
          <t>已对齐（2026-09-12）：原文案只写“丹药 +1”未说明种类，实际是随机一味；现补注（数量确实为 1）</t>
        </is>
      </c>
      <c r="J8" s="4" t="inlineStr">
        <is>
          <t>字面匹配</t>
        </is>
      </c>
    </row>
    <row r="9">
      <c r="A9" s="3" t="n">
        <v>7</v>
      </c>
      <c r="B9" s="4" t="inlineStr">
        <is>
          <t>吉</t>
        </is>
      </c>
      <c r="C9" s="5" t="n">
        <v>3</v>
      </c>
      <c r="D9" s="6">
        <f>IF(OR($C$53="",$C$53=0),"",C9/$C$53)</f>
        <v>0.013888888888888888</v>
      </c>
      <c r="E9" s="7" t="inlineStr">
        <is>
          <t>{n}与路过剑修论剑三日，剑意大进。武力 +10%，剑意圆满再进 +10%</t>
        </is>
      </c>
      <c r="F9" s="7" t="inlineStr">
        <is>
          <t>武力 +10% ＋10%（合计 20%）</t>
        </is>
      </c>
      <c r="G9" s="7" t="inlineStr">
        <is>
          <t>心情 +10；武力加成 +20%</t>
        </is>
      </c>
      <c r="H9" s="4" t="inlineStr">
        <is>
          <t>一致</t>
        </is>
      </c>
      <c r="I9" s="7" t="inlineStr">
        <is>
          <t>已对齐（2026-09-12）：该文案同时命中 “+10%” 与 “武力 +” 两条规则、各加 10%，实际为 +20%；现如实写成两段 +10%</t>
        </is>
      </c>
      <c r="J9" s="4" t="inlineStr">
        <is>
          <t>字面匹配</t>
        </is>
      </c>
    </row>
    <row r="10">
      <c r="A10" s="3" t="n">
        <v>8</v>
      </c>
      <c r="B10" s="4" t="inlineStr">
        <is>
          <t>吉</t>
        </is>
      </c>
      <c r="C10" s="5" t="n">
        <v>3</v>
      </c>
      <c r="D10" s="6">
        <f>IF(OR($C$53="",$C$53=0),"",C10/$C$53)</f>
        <v>0.013888888888888888</v>
      </c>
      <c r="E10" s="7" t="inlineStr">
        <is>
          <t>{n}护送商队过荒漠，百姓感念，宗门庇护人数 +{p}</t>
        </is>
      </c>
      <c r="F10" s="7" t="inlineStr">
        <is>
          <t>庇护人数 +{p}（20~200）</t>
        </is>
      </c>
      <c r="G10" s="7" t="inlineStr">
        <is>
          <t>心情 +10；宗门庇护 += {p}</t>
        </is>
      </c>
      <c r="H10" s="4" t="inlineStr">
        <is>
          <t>一致</t>
        </is>
      </c>
      <c r="I10" s="7" t="inlineStr">
        <is>
          <t>—</t>
        </is>
      </c>
      <c r="J10" s="4" t="inlineStr">
        <is>
          <t>字面匹配</t>
        </is>
      </c>
    </row>
    <row r="11">
      <c r="A11" s="3" t="n">
        <v>9</v>
      </c>
      <c r="B11" s="4" t="inlineStr">
        <is>
          <t>吉</t>
        </is>
      </c>
      <c r="C11" s="5" t="n">
        <v>3</v>
      </c>
      <c r="D11" s="6">
        <f>IF(OR($C$53="",$C$53=0),"",C11/$C$53)</f>
        <v>0.013888888888888888</v>
      </c>
      <c r="E11" s="7" t="inlineStr">
        <is>
          <t>{n}于雷劫中窥见一线生机，心境圆满。突破几率 +5%</t>
        </is>
      </c>
      <c r="F11" s="7" t="inlineStr">
        <is>
          <t>突破几率 +5%</t>
        </is>
      </c>
      <c r="G11" s="7" t="inlineStr">
        <is>
          <t>心情 +10；突破加成 +5%</t>
        </is>
      </c>
      <c r="H11" s="4" t="inlineStr">
        <is>
          <t>一致</t>
        </is>
      </c>
      <c r="I11" s="7" t="inlineStr">
        <is>
          <t>已调整（2026-09-12）：权重 2 → 3（×1.5），补回被扩容稀释的修炼类吉事件密度；文案未提及通用心情 +10</t>
        </is>
      </c>
      <c r="J11" s="4" t="inlineStr">
        <is>
          <t>字面匹配</t>
        </is>
      </c>
    </row>
    <row r="12">
      <c r="A12" s="3" t="n">
        <v>10</v>
      </c>
      <c r="B12" s="4" t="inlineStr">
        <is>
          <t>吉</t>
        </is>
      </c>
      <c r="C12" s="5" t="n">
        <v>2</v>
      </c>
      <c r="D12" s="6">
        <f>IF(OR($C$53="",$C$53=0),"",C12/$C$53)</f>
        <v>0.009259259259259259</v>
      </c>
      <c r="E12" s="7" t="inlineStr">
        <is>
          <t>{n}收一灵兽为伴，日夜相伴不寂寞。心情 +10</t>
        </is>
      </c>
      <c r="F12" s="7" t="inlineStr">
        <is>
          <t>心情 +10</t>
        </is>
      </c>
      <c r="G12" s="7" t="inlineStr">
        <is>
          <t>心情 +10</t>
        </is>
      </c>
      <c r="H12" s="4" t="inlineStr">
        <is>
          <t>一致</t>
        </is>
      </c>
      <c r="I12" s="7" t="inlineStr">
        <is>
          <t>已对齐（2026-09-12）：吉分支没有 “心情 +” 规则，原写 +20 但实际只吃通用 +10；现改为 +10</t>
        </is>
      </c>
      <c r="J12" s="4" t="inlineStr">
        <is>
          <t>字面匹配</t>
        </is>
      </c>
    </row>
    <row r="13">
      <c r="A13" s="3" t="n">
        <v>11</v>
      </c>
      <c r="B13" s="4" t="inlineStr">
        <is>
          <t>吉</t>
        </is>
      </c>
      <c r="C13" s="5" t="n">
        <v>2</v>
      </c>
      <c r="D13" s="6">
        <f>IF(OR($C$53="",$C$53=0),"",C13/$C$53)</f>
        <v>0.009259259259259259</v>
      </c>
      <c r="E13" s="7" t="inlineStr">
        <is>
          <t>{n}于古井底得一块温玉，佩戴后百病不生。寿元 +30</t>
        </is>
      </c>
      <c r="F13" s="7" t="inlineStr">
        <is>
          <t>寿元 +30</t>
        </is>
      </c>
      <c r="G13" s="7" t="inlineStr">
        <is>
          <t>心情 +10；寿元上限 +30</t>
        </is>
      </c>
      <c r="H13" s="4" t="inlineStr">
        <is>
          <t>一致</t>
        </is>
      </c>
      <c r="I13" s="7" t="inlineStr">
        <is>
          <t>文案未提及通用心情 +10</t>
        </is>
      </c>
      <c r="J13" s="4" t="inlineStr">
        <is>
          <t>字面匹配</t>
        </is>
      </c>
    </row>
    <row r="14">
      <c r="A14" s="3" t="n">
        <v>12</v>
      </c>
      <c r="B14" s="4" t="inlineStr">
        <is>
          <t>吉</t>
        </is>
      </c>
      <c r="C14" s="5" t="n">
        <v>3</v>
      </c>
      <c r="D14" s="6">
        <f>IF(OR($C$53="",$C$53=0),"",C14/$C$53)</f>
        <v>0.013888888888888888</v>
      </c>
      <c r="E14" s="7" t="inlineStr">
        <is>
          <t>{n}梦中得仙人授法，醒来泪流满面。修炼速度 +20%</t>
        </is>
      </c>
      <c r="F14" s="7" t="inlineStr">
        <is>
          <t>修炼速度 +20%</t>
        </is>
      </c>
      <c r="G14" s="7" t="inlineStr">
        <is>
          <t>心情 +10；灵气回复率 +20%</t>
        </is>
      </c>
      <c r="H14" s="4" t="inlineStr">
        <is>
          <t>一致</t>
        </is>
      </c>
      <c r="I14" s="7" t="inlineStr">
        <is>
          <t>已调整（2026-09-12）：权重 2 → 3（×1.5），补回被扩容稀释的修炼类吉事件密度；文案未提及通用心情 +10</t>
        </is>
      </c>
      <c r="J14" s="4" t="inlineStr">
        <is>
          <t>字面匹配</t>
        </is>
      </c>
    </row>
    <row r="15">
      <c r="A15" s="3" t="n">
        <v>13</v>
      </c>
      <c r="B15" s="4" t="inlineStr">
        <is>
          <t>吉</t>
        </is>
      </c>
      <c r="C15" s="5" t="n">
        <v>5</v>
      </c>
      <c r="D15" s="6">
        <f>IF(OR($C$53="",$C$53=0),"",C15/$C$53)</f>
        <v>0.023148148148148147</v>
      </c>
      <c r="E15" s="7" t="inlineStr">
        <is>
          <t>{n}依古方采药炼丹，在丹炉前守了三日三夜，终成一炉好药。丹药 +1（随机一味）；心情 +10</t>
        </is>
      </c>
      <c r="F15" s="7" t="inlineStr">
        <is>
          <t>丹药 +1（随机一味）；心情 +10</t>
        </is>
      </c>
      <c r="G15" s="7" t="inlineStr">
        <is>
          <t>心情 +10；随机一味丹药 +1</t>
        </is>
      </c>
      <c r="H15" s="4" t="inlineStr">
        <is>
          <t>一致</t>
        </is>
      </c>
      <c r="I15" s="7" t="inlineStr">
        <is>
          <t>新增（2026-09-12）· 走 eff 结构化</t>
        </is>
      </c>
      <c r="J15" s="4" t="inlineStr">
        <is>
          <t>eff 结构化</t>
        </is>
      </c>
    </row>
    <row r="16">
      <c r="A16" s="3" t="n">
        <v>14</v>
      </c>
      <c r="B16" s="4" t="inlineStr">
        <is>
          <t>吉</t>
        </is>
      </c>
      <c r="C16" s="5" t="n">
        <v>5</v>
      </c>
      <c r="D16" s="6">
        <f>IF(OR($C$53="",$C$53=0),"",C16/$C$53)</f>
        <v>0.023148148148148147</v>
      </c>
      <c r="E16" s="7" t="inlineStr">
        <is>
          <t>{n}在药园深处移栽回一株野生灵草，悉心照料，长势喜人。灵草 +1（随机一种）；心情 +10</t>
        </is>
      </c>
      <c r="F16" s="7" t="inlineStr">
        <is>
          <t>灵草 +1（随机一种）；心情 +10</t>
        </is>
      </c>
      <c r="G16" s="7" t="inlineStr">
        <is>
          <t>心情 +10；随机一种灵草 +1</t>
        </is>
      </c>
      <c r="H16" s="4" t="inlineStr">
        <is>
          <t>一致</t>
        </is>
      </c>
      <c r="I16" s="7" t="inlineStr">
        <is>
          <t>新增（2026-09-12）· 走 eff 结构化</t>
        </is>
      </c>
      <c r="J16" s="4" t="inlineStr">
        <is>
          <t>eff 结构化</t>
        </is>
      </c>
    </row>
    <row r="17">
      <c r="A17" s="3" t="n">
        <v>15</v>
      </c>
      <c r="B17" s="4" t="inlineStr">
        <is>
          <t>吉</t>
        </is>
      </c>
      <c r="C17" s="5" t="n">
        <v>4</v>
      </c>
      <c r="D17" s="6">
        <f>IF(OR($C$53="",$C$53=0),"",C17/$C$53)</f>
        <v>0.018518518518518517</v>
      </c>
      <c r="E17" s="7" t="inlineStr">
        <is>
          <t>{n}替宗门跑了趟坊市，低买高卖，颇有进项。灵石 +一笔（数目随缘）；心情 +10</t>
        </is>
      </c>
      <c r="F17" s="7" t="inlineStr">
        <is>
          <t>灵石 +一笔（数目随缘）；心情 +10</t>
        </is>
      </c>
      <c r="G17" s="7" t="inlineStr">
        <is>
          <t>心情 +10；灵石 += 500~5000×(1+境界×2)</t>
        </is>
      </c>
      <c r="H17" s="4" t="inlineStr">
        <is>
          <t>一致</t>
        </is>
      </c>
      <c r="I17" s="7" t="inlineStr">
        <is>
          <t>新增（2026-09-12）· 走 eff 结构化</t>
        </is>
      </c>
      <c r="J17" s="4" t="inlineStr">
        <is>
          <t>eff 结构化</t>
        </is>
      </c>
    </row>
    <row r="18">
      <c r="A18" s="3" t="n">
        <v>16</v>
      </c>
      <c r="B18" s="4" t="inlineStr">
        <is>
          <t>吉</t>
        </is>
      </c>
      <c r="C18" s="5" t="n">
        <v>4</v>
      </c>
      <c r="D18" s="6">
        <f>IF(OR($C$53="",$C$53=0),"",C18/$C$53)</f>
        <v>0.018518518518518517</v>
      </c>
      <c r="E18" s="7" t="inlineStr">
        <is>
          <t>{n}在后山采石，一镐下去竟凿出块蕴灵矿石。矿石 +1（随机一种）；心情 +10</t>
        </is>
      </c>
      <c r="F18" s="7" t="inlineStr">
        <is>
          <t>矿石 +1（随机一种）；心情 +10</t>
        </is>
      </c>
      <c r="G18" s="7" t="inlineStr">
        <is>
          <t>心情 +10；随机一种灵材 +1</t>
        </is>
      </c>
      <c r="H18" s="4" t="inlineStr">
        <is>
          <t>一致</t>
        </is>
      </c>
      <c r="I18" s="7" t="inlineStr">
        <is>
          <t>新增（2026-09-12）· 走 eff 结构化</t>
        </is>
      </c>
      <c r="J18" s="4" t="inlineStr">
        <is>
          <t>eff 结构化</t>
        </is>
      </c>
    </row>
    <row r="19">
      <c r="A19" s="3" t="n">
        <v>17</v>
      </c>
      <c r="B19" s="4" t="inlineStr">
        <is>
          <t>吉</t>
        </is>
      </c>
      <c r="C19" s="5" t="n">
        <v>4</v>
      </c>
      <c r="D19" s="6">
        <f>IF(OR($C$53="",$C$53=0),"",C19/$C$53)</f>
        <v>0.018518518518518517</v>
      </c>
      <c r="E19" s="7" t="inlineStr">
        <is>
          <t>{n}与同门论道三日，解开了多年积郁，心境澄明。心情 +30</t>
        </is>
      </c>
      <c r="F19" s="7" t="inlineStr">
        <is>
          <t>心情 +30</t>
        </is>
      </c>
      <c r="G19" s="7" t="inlineStr">
        <is>
          <t>心情 +30（精确值，不叠加通用 +10）</t>
        </is>
      </c>
      <c r="H19" s="4" t="inlineStr">
        <is>
          <t>一致</t>
        </is>
      </c>
      <c r="I19" s="7" t="inlineStr">
        <is>
          <t>新增（2026-09-12）· 走 eff 结构化</t>
        </is>
      </c>
      <c r="J19" s="4" t="inlineStr">
        <is>
          <t>eff 结构化</t>
        </is>
      </c>
    </row>
    <row r="20">
      <c r="A20" s="3" t="n">
        <v>18</v>
      </c>
      <c r="B20" s="4" t="inlineStr">
        <is>
          <t>吉</t>
        </is>
      </c>
      <c r="C20" s="5" t="n">
        <v>3</v>
      </c>
      <c r="D20" s="6">
        <f>IF(OR($C$53="",$C$53=0),"",C20/$C$53)</f>
        <v>0.013888888888888888</v>
      </c>
      <c r="E20" s="7" t="inlineStr">
        <is>
          <t>{n}枯坐崖顶参悟旬月，忽觉经脉通达，气机大畅。修炼速度 +5%；心情 +10</t>
        </is>
      </c>
      <c r="F20" s="7" t="inlineStr">
        <is>
          <t>修炼速度 +5%；心情 +10</t>
        </is>
      </c>
      <c r="G20" s="7" t="inlineStr">
        <is>
          <t>心情 +10；灵气回复率 +5%</t>
        </is>
      </c>
      <c r="H20" s="4" t="inlineStr">
        <is>
          <t>一致</t>
        </is>
      </c>
      <c r="I20" s="7" t="inlineStr">
        <is>
          <t>新增（2026-09-12）· 走 eff 结构化</t>
        </is>
      </c>
      <c r="J20" s="4" t="inlineStr">
        <is>
          <t>eff 结构化</t>
        </is>
      </c>
    </row>
    <row r="21">
      <c r="A21" s="3" t="n">
        <v>19</v>
      </c>
      <c r="B21" s="4" t="inlineStr">
        <is>
          <t>吉</t>
        </is>
      </c>
      <c r="C21" s="5" t="n">
        <v>3</v>
      </c>
      <c r="D21" s="6">
        <f>IF(OR($C$53="",$C$53=0),"",C21/$C$53)</f>
        <v>0.013888888888888888</v>
      </c>
      <c r="E21" s="7" t="inlineStr">
        <is>
          <t>{n}在坊市拍卖会上捡了个漏，得一件趁手法宝。法宝 +1；心情 +10</t>
        </is>
      </c>
      <c r="F21" s="7" t="inlineStr">
        <is>
          <t>法宝 +1；心情 +10</t>
        </is>
      </c>
      <c r="G21" s="7" t="inlineStr">
        <is>
          <t>心情 +10；随机法宝 +1（品阶随境界）</t>
        </is>
      </c>
      <c r="H21" s="4" t="inlineStr">
        <is>
          <t>一致</t>
        </is>
      </c>
      <c r="I21" s="7" t="inlineStr">
        <is>
          <t>新增（2026-09-12）· 走 eff 结构化</t>
        </is>
      </c>
      <c r="J21" s="4" t="inlineStr">
        <is>
          <t>eff 结构化</t>
        </is>
      </c>
    </row>
    <row r="22">
      <c r="A22" s="3" t="n">
        <v>20</v>
      </c>
      <c r="B22" s="4" t="inlineStr">
        <is>
          <t>吉</t>
        </is>
      </c>
      <c r="C22" s="5" t="n">
        <v>3</v>
      </c>
      <c r="D22" s="6">
        <f>IF(OR($C$53="",$C$53=0),"",C22/$C$53)</f>
        <v>0.013888888888888888</v>
      </c>
      <c r="E22" s="7" t="inlineStr">
        <is>
          <t>{n}雷雨夜独登绝顶，硬撼一道天雷而不倒。武力 +15%；心情 +15</t>
        </is>
      </c>
      <c r="F22" s="7" t="inlineStr">
        <is>
          <t>武力 +15%；心情 +15</t>
        </is>
      </c>
      <c r="G22" s="7" t="inlineStr">
        <is>
          <t>心情 +15；武力加成 +15%</t>
        </is>
      </c>
      <c r="H22" s="4" t="inlineStr">
        <is>
          <t>一致</t>
        </is>
      </c>
      <c r="I22" s="7" t="inlineStr">
        <is>
          <t>新增（2026-09-12）· 走 eff 结构化</t>
        </is>
      </c>
      <c r="J22" s="4" t="inlineStr">
        <is>
          <t>eff 结构化</t>
        </is>
      </c>
    </row>
    <row r="23">
      <c r="A23" s="3" t="n">
        <v>21</v>
      </c>
      <c r="B23" s="4" t="inlineStr">
        <is>
          <t>凶</t>
        </is>
      </c>
      <c r="C23" s="5" t="n">
        <v>6</v>
      </c>
      <c r="D23" s="6">
        <f>IF(OR($C$53="",$C$53=0),"",C23/$C$53)</f>
        <v>0.027777777777777776</v>
      </c>
      <c r="E23" s="7" t="inlineStr">
        <is>
          <t>{n}外出游历时与人结怨，被追杀三百里，所幸最终脱身。</t>
        </is>
      </c>
      <c r="F23" s="7" t="inlineStr">
        <is>
          <t>无</t>
        </is>
      </c>
      <c r="G23" s="7" t="inlineStr">
        <is>
          <t>心情 -10（通用）</t>
        </is>
      </c>
      <c r="H23" s="4" t="inlineStr">
        <is>
          <t>一致</t>
        </is>
      </c>
      <c r="I23" s="7" t="inlineStr">
        <is>
          <t>已对齐（2026-09-12）：凶分支没有 “武力 -” 规则，原写的“武力 -{a}”完全不生效；现删除该无效声明</t>
        </is>
      </c>
      <c r="J23" s="4" t="inlineStr">
        <is>
          <t>字面匹配</t>
        </is>
      </c>
    </row>
    <row r="24">
      <c r="A24" s="3" t="n">
        <v>22</v>
      </c>
      <c r="B24" s="4" t="inlineStr">
        <is>
          <t>凶</t>
        </is>
      </c>
      <c r="C24" s="5" t="n">
        <v>5</v>
      </c>
      <c r="D24" s="6">
        <f>IF(OR($C$53="",$C$53=0),"",C24/$C$53)</f>
        <v>0.023148148148148147</v>
      </c>
      <c r="E24" s="7" t="inlineStr">
        <is>
          <t>{n}修炼时岔了气息，卧床半月。修为 -20%（按上限计）</t>
        </is>
      </c>
      <c r="F24" s="7" t="inlineStr">
        <is>
          <t>修为 -20%（按上限计）</t>
        </is>
      </c>
      <c r="G24" s="7" t="inlineStr">
        <is>
          <t>心情 -10；当前修为 - 上限×20%</t>
        </is>
      </c>
      <c r="H24" s="4" t="inlineStr">
        <is>
          <t>一致</t>
        </is>
      </c>
      <c r="I24" s="7" t="inlineStr">
        <is>
          <t>已对齐（2026-09-12）：实际扣减比例是 20%，原文案借用 {q} 显示成了上限的 30%；现改为 20%</t>
        </is>
      </c>
      <c r="J24" s="4" t="inlineStr">
        <is>
          <t>字面匹配</t>
        </is>
      </c>
    </row>
    <row r="25">
      <c r="A25" s="3" t="n">
        <v>23</v>
      </c>
      <c r="B25" s="4" t="inlineStr">
        <is>
          <t>凶</t>
        </is>
      </c>
      <c r="C25" s="5" t="n">
        <v>4</v>
      </c>
      <c r="D25" s="6">
        <f>IF(OR($C$53="",$C$53=0),"",C25/$C$53)</f>
        <v>0.018518518518518517</v>
      </c>
      <c r="E25" s="7" t="inlineStr">
        <is>
          <t>{n}在秘境中为一株灵草与人争斗，负伤而归。心情 -30</t>
        </is>
      </c>
      <c r="F25" s="7" t="inlineStr">
        <is>
          <t>心情 -30</t>
        </is>
      </c>
      <c r="G25" s="7" t="inlineStr">
        <is>
          <t>心情 -30（通用 -10 叠加规则 -20）</t>
        </is>
      </c>
      <c r="H25" s="4" t="inlineStr">
        <is>
          <t>一致</t>
        </is>
      </c>
      <c r="I25" s="7" t="inlineStr">
        <is>
          <t>已对齐（2026-09-12）：原写 -20，实际通用 -10 与“心情 -”的 -20 叠加共 -30；现改为 -30</t>
        </is>
      </c>
      <c r="J25" s="4" t="inlineStr">
        <is>
          <t>字面匹配</t>
        </is>
      </c>
    </row>
    <row r="26">
      <c r="A26" s="3" t="n">
        <v>24</v>
      </c>
      <c r="B26" s="4" t="inlineStr">
        <is>
          <t>凶</t>
        </is>
      </c>
      <c r="C26" s="5" t="n">
        <v>4</v>
      </c>
      <c r="D26" s="6">
        <f>IF(OR($C$53="",$C$53=0),"",C26/$C$53)</f>
        <v>0.018518518518518517</v>
      </c>
      <c r="E26" s="7" t="inlineStr">
        <is>
          <t>{n}误服毒草，经脉受损。寿元 -20</t>
        </is>
      </c>
      <c r="F26" s="7" t="inlineStr">
        <is>
          <t>寿元 -20</t>
        </is>
      </c>
      <c r="G26" s="7" t="inlineStr">
        <is>
          <t>心情 -10；寿元上限 -20</t>
        </is>
      </c>
      <c r="H26" s="4" t="inlineStr">
        <is>
          <t>一致</t>
        </is>
      </c>
      <c r="I26" s="7" t="inlineStr">
        <is>
          <t>文案未提及通用心情 -10</t>
        </is>
      </c>
      <c r="J26" s="4" t="inlineStr">
        <is>
          <t>字面匹配</t>
        </is>
      </c>
    </row>
    <row r="27">
      <c r="A27" s="3" t="n">
        <v>25</v>
      </c>
      <c r="B27" s="4" t="inlineStr">
        <is>
          <t>凶</t>
        </is>
      </c>
      <c r="C27" s="5" t="n">
        <v>3</v>
      </c>
      <c r="D27" s="6">
        <f>IF(OR($C$53="",$C$53=0),"",C27/$C$53)</f>
        <v>0.013888888888888888</v>
      </c>
      <c r="E27" s="7" t="inlineStr">
        <is>
          <t>{n}借贷购置法宝，如今债主上门。灵石 -500~5000</t>
        </is>
      </c>
      <c r="F27" s="7" t="inlineStr">
        <is>
          <t>灵石 -500~5000</t>
        </is>
      </c>
      <c r="G27" s="7" t="inlineStr">
        <is>
          <t>心情 -10；灵石 -= 500~5000（不带境界倍率）</t>
        </is>
      </c>
      <c r="H27" s="4" t="inlineStr">
        <is>
          <t>一致</t>
        </is>
      </c>
      <c r="I27" s="7" t="inlineStr">
        <is>
          <t>已对齐（2026-09-12）：原文案用 {s} 展示了带境界倍率的数额，实际扣款不带倍率；现改为如实的 500~5000</t>
        </is>
      </c>
      <c r="J27" s="4" t="inlineStr">
        <is>
          <t>字面匹配</t>
        </is>
      </c>
    </row>
    <row r="28">
      <c r="A28" s="3" t="n">
        <v>26</v>
      </c>
      <c r="B28" s="4" t="inlineStr">
        <is>
          <t>凶</t>
        </is>
      </c>
      <c r="C28" s="5" t="n">
        <v>3</v>
      </c>
      <c r="D28" s="6">
        <f>IF(OR($C$53="",$C$53=0),"",C28/$C$53)</f>
        <v>0.013888888888888888</v>
      </c>
      <c r="E28" s="7" t="inlineStr">
        <is>
          <t>{n}心魔丛生，闭关三月方才压下。突破几率 -3%</t>
        </is>
      </c>
      <c r="F28" s="7" t="inlineStr">
        <is>
          <t>突破几率 -3%</t>
        </is>
      </c>
      <c r="G28" s="7" t="inlineStr">
        <is>
          <t>心情 -10；突破加成 -3%</t>
        </is>
      </c>
      <c r="H28" s="4" t="inlineStr">
        <is>
          <t>一致</t>
        </is>
      </c>
      <c r="I28" s="7" t="inlineStr">
        <is>
          <t>文案未提及通用心情 -10</t>
        </is>
      </c>
      <c r="J28" s="4" t="inlineStr">
        <is>
          <t>字面匹配</t>
        </is>
      </c>
    </row>
    <row r="29">
      <c r="A29" s="3" t="n">
        <v>27</v>
      </c>
      <c r="B29" s="4" t="inlineStr">
        <is>
          <t>凶</t>
        </is>
      </c>
      <c r="C29" s="5" t="n">
        <v>2</v>
      </c>
      <c r="D29" s="6">
        <f>IF(OR($C$53="",$C$53=0),"",C29/$C$53)</f>
        <v>0.009259259259259259</v>
      </c>
      <c r="E29" s="7" t="inlineStr">
        <is>
          <t>{n}与人斗法失利，法宝受损。{n}的一件法宝损坏了。</t>
        </is>
      </c>
      <c r="F29" s="7" t="inlineStr">
        <is>
          <t>一件法宝损坏</t>
        </is>
      </c>
      <c r="G29" s="7" t="inlineStr">
        <is>
          <t>心情 -10；卸掉第一个非空装备槽（法宝直接丢失，不进公库）</t>
        </is>
      </c>
      <c r="H29" s="4" t="inlineStr">
        <is>
          <t>一致</t>
        </is>
      </c>
      <c r="I29" s="7" t="inlineStr">
        <is>
          <t>—</t>
        </is>
      </c>
      <c r="J29" s="4" t="inlineStr">
        <is>
          <t>字面匹配</t>
        </is>
      </c>
    </row>
    <row r="30">
      <c r="A30" s="3" t="n">
        <v>28</v>
      </c>
      <c r="B30" s="4" t="inlineStr">
        <is>
          <t>凶</t>
        </is>
      </c>
      <c r="C30" s="5" t="n">
        <v>4</v>
      </c>
      <c r="D30" s="6">
        <f>IF(OR($C$53="",$C$53=0),"",C30/$C$53)</f>
        <v>0.018518518518518517</v>
      </c>
      <c r="E30" s="7" t="inlineStr">
        <is>
          <t>{n}的丹炉炸了膛，一炉丹药尽毁。丹药 -1（随机一味）；心情 -10</t>
        </is>
      </c>
      <c r="F30" s="7" t="inlineStr">
        <is>
          <t>丹药 -1（随机一味）；心情 -10</t>
        </is>
      </c>
      <c r="G30" s="7" t="inlineStr">
        <is>
          <t>心情 -10；随机一味丹药 -1（只在有存量的丹药里扣）</t>
        </is>
      </c>
      <c r="H30" s="4" t="inlineStr">
        <is>
          <t>一致</t>
        </is>
      </c>
      <c r="I30" s="7" t="inlineStr">
        <is>
          <t>新增（2026-09-12）· 走 eff 结构化</t>
        </is>
      </c>
      <c r="J30" s="4" t="inlineStr">
        <is>
          <t>eff 结构化</t>
        </is>
      </c>
    </row>
    <row r="31">
      <c r="A31" s="3" t="n">
        <v>29</v>
      </c>
      <c r="B31" s="4" t="inlineStr">
        <is>
          <t>凶</t>
        </is>
      </c>
      <c r="C31" s="5" t="n">
        <v>4</v>
      </c>
      <c r="D31" s="6">
        <f>IF(OR($C$53="",$C$53=0),"",C31/$C$53)</f>
        <v>0.018518518518518517</v>
      </c>
      <c r="E31" s="7" t="inlineStr">
        <is>
          <t>{n}打理药园时失手，毁了半圃灵草。灵草 -1（随机一种）；心情 -10</t>
        </is>
      </c>
      <c r="F31" s="7" t="inlineStr">
        <is>
          <t>灵草 -1（随机一种）；心情 -10</t>
        </is>
      </c>
      <c r="G31" s="7" t="inlineStr">
        <is>
          <t>心情 -10；随机一种灵草 -1（只在有存量的品类里扣）</t>
        </is>
      </c>
      <c r="H31" s="4" t="inlineStr">
        <is>
          <t>一致</t>
        </is>
      </c>
      <c r="I31" s="7" t="inlineStr">
        <is>
          <t>新增（2026-09-12）· 走 eff 结构化</t>
        </is>
      </c>
      <c r="J31" s="4" t="inlineStr">
        <is>
          <t>eff 结构化</t>
        </is>
      </c>
    </row>
    <row r="32">
      <c r="A32" s="3" t="n">
        <v>30</v>
      </c>
      <c r="B32" s="4" t="inlineStr">
        <is>
          <t>凶</t>
        </is>
      </c>
      <c r="C32" s="5" t="n">
        <v>4</v>
      </c>
      <c r="D32" s="6">
        <f>IF(OR($C$53="",$C$53=0),"",C32/$C$53)</f>
        <v>0.018518518518518517</v>
      </c>
      <c r="E32" s="7" t="inlineStr">
        <is>
          <t>{n}在坊市被人做局，折了一大笔灵石。灵石 -一笔（数目随缘）；心情 -10</t>
        </is>
      </c>
      <c r="F32" s="7" t="inlineStr">
        <is>
          <t>灵石 -一笔（数目随缘）；心情 -10</t>
        </is>
      </c>
      <c r="G32" s="7" t="inlineStr">
        <is>
          <t>心情 -10；灵石 -= 500~5000（不带境界倍率）</t>
        </is>
      </c>
      <c r="H32" s="4" t="inlineStr">
        <is>
          <t>一致</t>
        </is>
      </c>
      <c r="I32" s="7" t="inlineStr">
        <is>
          <t>新增（2026-09-12）· 走 eff 结构化</t>
        </is>
      </c>
      <c r="J32" s="4" t="inlineStr">
        <is>
          <t>eff 结构化</t>
        </is>
      </c>
    </row>
    <row r="33">
      <c r="A33" s="3" t="n">
        <v>31</v>
      </c>
      <c r="B33" s="4" t="inlineStr">
        <is>
          <t>凶</t>
        </is>
      </c>
      <c r="C33" s="5" t="n">
        <v>3</v>
      </c>
      <c r="D33" s="6">
        <f>IF(OR($C$53="",$C$53=0),"",C33/$C$53)</f>
        <v>0.013888888888888888</v>
      </c>
      <c r="E33" s="7" t="inlineStr">
        <is>
          <t>{n}强行冲击瓶颈，气血翻涌，险些走火入魔。突破几率 -5%；心情 -10</t>
        </is>
      </c>
      <c r="F33" s="7" t="inlineStr">
        <is>
          <t>突破几率 -5%；心情 -10</t>
        </is>
      </c>
      <c r="G33" s="7" t="inlineStr">
        <is>
          <t>心情 -10；突破加成 -5%</t>
        </is>
      </c>
      <c r="H33" s="4" t="inlineStr">
        <is>
          <t>一致</t>
        </is>
      </c>
      <c r="I33" s="7" t="inlineStr">
        <is>
          <t>新增（2026-09-12）· 走 eff 结构化</t>
        </is>
      </c>
      <c r="J33" s="4" t="inlineStr">
        <is>
          <t>eff 结构化</t>
        </is>
      </c>
    </row>
    <row r="34">
      <c r="A34" s="3" t="n">
        <v>32</v>
      </c>
      <c r="B34" s="4" t="inlineStr">
        <is>
          <t>凶</t>
        </is>
      </c>
      <c r="C34" s="5" t="n">
        <v>3</v>
      </c>
      <c r="D34" s="6">
        <f>IF(OR($C$53="",$C$53=0),"",C34/$C$53)</f>
        <v>0.013888888888888888</v>
      </c>
      <c r="E34" s="7" t="inlineStr">
        <is>
          <t>{n}所修功法出了纰漏，丹田受损。修为 -20%（按上限计）；心情 -10</t>
        </is>
      </c>
      <c r="F34" s="7" t="inlineStr">
        <is>
          <t>修为 -20%（按上限计）；心情 -10</t>
        </is>
      </c>
      <c r="G34" s="7" t="inlineStr">
        <is>
          <t>心情 -10；当前修为 - 上限×20%</t>
        </is>
      </c>
      <c r="H34" s="4" t="inlineStr">
        <is>
          <t>一致</t>
        </is>
      </c>
      <c r="I34" s="7" t="inlineStr">
        <is>
          <t>新增（2026-09-12）· 走 eff 结构化</t>
        </is>
      </c>
      <c r="J34" s="4" t="inlineStr">
        <is>
          <t>eff 结构化</t>
        </is>
      </c>
    </row>
    <row r="35">
      <c r="A35" s="3" t="n">
        <v>33</v>
      </c>
      <c r="B35" s="4" t="inlineStr">
        <is>
          <t>凶</t>
        </is>
      </c>
      <c r="C35" s="5" t="n">
        <v>3</v>
      </c>
      <c r="D35" s="6">
        <f>IF(OR($C$53="",$C$53=0),"",C35/$C$53)</f>
        <v>0.013888888888888888</v>
      </c>
      <c r="E35" s="7" t="inlineStr">
        <is>
          <t>{n}在荒野遇上伙劫修，苦战一场方才脱身。心情 -30</t>
        </is>
      </c>
      <c r="F35" s="7" t="inlineStr">
        <is>
          <t>心情 -30</t>
        </is>
      </c>
      <c r="G35" s="7" t="inlineStr">
        <is>
          <t>心情 -30（精确值，不叠加通用 -10）</t>
        </is>
      </c>
      <c r="H35" s="4" t="inlineStr">
        <is>
          <t>一致</t>
        </is>
      </c>
      <c r="I35" s="7" t="inlineStr">
        <is>
          <t>新增（2026-09-12）· 走 eff 结构化</t>
        </is>
      </c>
      <c r="J35" s="4" t="inlineStr">
        <is>
          <t>eff 结构化</t>
        </is>
      </c>
    </row>
    <row r="36">
      <c r="A36" s="3" t="n">
        <v>34</v>
      </c>
      <c r="B36" s="4" t="inlineStr">
        <is>
          <t>平常</t>
        </is>
      </c>
      <c r="C36" s="5" t="n">
        <v>8</v>
      </c>
      <c r="D36" s="6">
        <f>IF(OR($C$53="",$C$53=0),"",C36/$C$53)</f>
        <v>0.037037037037037035</v>
      </c>
      <c r="E36" s="7" t="inlineStr">
        <is>
          <t>{n}在宗门外摆了个茶摊，与往来散修闲话半日。</t>
        </is>
      </c>
      <c r="F36" s="7" t="inlineStr">
        <is>
          <t>无</t>
        </is>
      </c>
      <c r="G36" s="7" t="inlineStr">
        <is>
          <t>无任何效果</t>
        </is>
      </c>
      <c r="H36" s="4" t="inlineStr">
        <is>
          <t>文案未声明</t>
        </is>
      </c>
      <c r="I36" s="7" t="inlineStr">
        <is>
          <t>纯剧情</t>
        </is>
      </c>
      <c r="J36" s="4" t="inlineStr">
        <is>
          <t>无（平常）</t>
        </is>
      </c>
    </row>
    <row r="37">
      <c r="A37" s="3" t="n">
        <v>35</v>
      </c>
      <c r="B37" s="4" t="inlineStr">
        <is>
          <t>平常</t>
        </is>
      </c>
      <c r="C37" s="5" t="n">
        <v>7</v>
      </c>
      <c r="D37" s="6">
        <f>IF(OR($C$53="",$C$53=0),"",C37/$C$53)</f>
        <v>0.032407407407407406</v>
      </c>
      <c r="E37" s="7" t="inlineStr">
        <is>
          <t>{n}把洞府打扫了一遍，意外清出不少旧物。</t>
        </is>
      </c>
      <c r="F37" s="7" t="inlineStr">
        <is>
          <t>无</t>
        </is>
      </c>
      <c r="G37" s="7" t="inlineStr">
        <is>
          <t>无任何效果</t>
        </is>
      </c>
      <c r="H37" s="4" t="inlineStr">
        <is>
          <t>文案未声明</t>
        </is>
      </c>
      <c r="I37" s="7" t="inlineStr">
        <is>
          <t>纯剧情</t>
        </is>
      </c>
      <c r="J37" s="4" t="inlineStr">
        <is>
          <t>无（平常）</t>
        </is>
      </c>
    </row>
    <row r="38">
      <c r="A38" s="3" t="n">
        <v>36</v>
      </c>
      <c r="B38" s="4" t="inlineStr">
        <is>
          <t>平常</t>
        </is>
      </c>
      <c r="C38" s="5" t="n">
        <v>6</v>
      </c>
      <c r="D38" s="6">
        <f>IF(OR($C$53="",$C$53=0),"",C38/$C$53)</f>
        <v>0.027777777777777776</v>
      </c>
      <c r="E38" s="7" t="inlineStr">
        <is>
          <t>{n}写了封长信寄回家乡，久久没有回音。</t>
        </is>
      </c>
      <c r="F38" s="7" t="inlineStr">
        <is>
          <t>无</t>
        </is>
      </c>
      <c r="G38" s="7" t="inlineStr">
        <is>
          <t>无任何效果</t>
        </is>
      </c>
      <c r="H38" s="4" t="inlineStr">
        <is>
          <t>文案未声明</t>
        </is>
      </c>
      <c r="I38" s="7" t="inlineStr">
        <is>
          <t>纯剧情</t>
        </is>
      </c>
      <c r="J38" s="4" t="inlineStr">
        <is>
          <t>无（平常）</t>
        </is>
      </c>
    </row>
    <row r="39">
      <c r="A39" s="3" t="n">
        <v>37</v>
      </c>
      <c r="B39" s="4" t="inlineStr">
        <is>
          <t>平常</t>
        </is>
      </c>
      <c r="C39" s="5" t="n">
        <v>5</v>
      </c>
      <c r="D39" s="6">
        <f>IF(OR($C$53="",$C$53=0),"",C39/$C$53)</f>
        <v>0.023148148148148147</v>
      </c>
      <c r="E39" s="7" t="inlineStr">
        <is>
          <t>{n}在演武场独自练剑到天明。</t>
        </is>
      </c>
      <c r="F39" s="7" t="inlineStr">
        <is>
          <t>无</t>
        </is>
      </c>
      <c r="G39" s="7" t="inlineStr">
        <is>
          <t>无任何效果</t>
        </is>
      </c>
      <c r="H39" s="4" t="inlineStr">
        <is>
          <t>文案未声明</t>
        </is>
      </c>
      <c r="I39" s="7" t="inlineStr">
        <is>
          <t>纯剧情</t>
        </is>
      </c>
      <c r="J39" s="4" t="inlineStr">
        <is>
          <t>无（平常）</t>
        </is>
      </c>
    </row>
    <row r="40">
      <c r="A40" s="3" t="n">
        <v>38</v>
      </c>
      <c r="B40" s="4" t="inlineStr">
        <is>
          <t>平常</t>
        </is>
      </c>
      <c r="C40" s="5" t="n">
        <v>4</v>
      </c>
      <c r="D40" s="6">
        <f>IF(OR($C$53="",$C$53=0),"",C40/$C$53)</f>
        <v>0.018518518518518517</v>
      </c>
      <c r="E40" s="7" t="inlineStr">
        <is>
          <t>{n}替邻峰弟子照看了几日药田。</t>
        </is>
      </c>
      <c r="F40" s="7" t="inlineStr">
        <is>
          <t>无</t>
        </is>
      </c>
      <c r="G40" s="7" t="inlineStr">
        <is>
          <t>无任何效果</t>
        </is>
      </c>
      <c r="H40" s="4" t="inlineStr">
        <is>
          <t>文案未声明</t>
        </is>
      </c>
      <c r="I40" s="7" t="inlineStr">
        <is>
          <t>纯剧情</t>
        </is>
      </c>
      <c r="J40" s="4" t="inlineStr">
        <is>
          <t>无（平常）</t>
        </is>
      </c>
    </row>
    <row r="41">
      <c r="A41" s="3" t="n">
        <v>39</v>
      </c>
      <c r="B41" s="4" t="inlineStr">
        <is>
          <t>平常</t>
        </is>
      </c>
      <c r="C41" s="5" t="n">
        <v>3</v>
      </c>
      <c r="D41" s="6">
        <f>IF(OR($C$53="",$C$53=0),"",C41/$C$53)</f>
        <v>0.013888888888888888</v>
      </c>
      <c r="E41" s="7" t="inlineStr">
        <is>
          <t>{n}对着云海发了半日呆，什么也没想明白。</t>
        </is>
      </c>
      <c r="F41" s="7" t="inlineStr">
        <is>
          <t>无</t>
        </is>
      </c>
      <c r="G41" s="7" t="inlineStr">
        <is>
          <t>无任何效果</t>
        </is>
      </c>
      <c r="H41" s="4" t="inlineStr">
        <is>
          <t>文案未声明</t>
        </is>
      </c>
      <c r="I41" s="7" t="inlineStr">
        <is>
          <t>纯剧情</t>
        </is>
      </c>
      <c r="J41" s="4" t="inlineStr">
        <is>
          <t>无（平常）</t>
        </is>
      </c>
    </row>
    <row r="42">
      <c r="A42" s="3" t="n">
        <v>40</v>
      </c>
      <c r="B42" s="4" t="inlineStr">
        <is>
          <t>平常</t>
        </is>
      </c>
      <c r="C42" s="5" t="n">
        <v>7</v>
      </c>
      <c r="D42" s="6">
        <f>IF(OR($C$53="",$C$53=0),"",C42/$C$53)</f>
        <v>0.032407407407407406</v>
      </c>
      <c r="E42" s="7" t="inlineStr">
        <is>
          <t>{n}在宗门山门外看了一整日的云，什么也没做。</t>
        </is>
      </c>
      <c r="F42" s="7" t="inlineStr">
        <is>
          <t>无</t>
        </is>
      </c>
      <c r="G42" s="7" t="inlineStr">
        <is>
          <t>无任何效果</t>
        </is>
      </c>
      <c r="H42" s="4" t="inlineStr">
        <is>
          <t>文案未声明</t>
        </is>
      </c>
      <c r="I42" s="7" t="inlineStr">
        <is>
          <t>纯剧情 · 新增（2026-09-12）</t>
        </is>
      </c>
      <c r="J42" s="4" t="inlineStr">
        <is>
          <t>无（平常）</t>
        </is>
      </c>
    </row>
    <row r="43">
      <c r="A43" s="3" t="n">
        <v>41</v>
      </c>
      <c r="B43" s="4" t="inlineStr">
        <is>
          <t>平常</t>
        </is>
      </c>
      <c r="C43" s="5" t="n">
        <v>6</v>
      </c>
      <c r="D43" s="6">
        <f>IF(OR($C$53="",$C$53=0),"",C43/$C$53)</f>
        <v>0.027777777777777776</v>
      </c>
      <c r="E43" s="7" t="inlineStr">
        <is>
          <t>{n}与山下货郎闲聊半日，听了一肚子外面的事。</t>
        </is>
      </c>
      <c r="F43" s="7" t="inlineStr">
        <is>
          <t>无</t>
        </is>
      </c>
      <c r="G43" s="7" t="inlineStr">
        <is>
          <t>无任何效果</t>
        </is>
      </c>
      <c r="H43" s="4" t="inlineStr">
        <is>
          <t>文案未声明</t>
        </is>
      </c>
      <c r="I43" s="7" t="inlineStr">
        <is>
          <t>纯剧情 · 新增（2026-09-12）</t>
        </is>
      </c>
      <c r="J43" s="4" t="inlineStr">
        <is>
          <t>无（平常）</t>
        </is>
      </c>
    </row>
    <row r="44">
      <c r="A44" s="3" t="n">
        <v>42</v>
      </c>
      <c r="B44" s="4" t="inlineStr">
        <is>
          <t>平常</t>
        </is>
      </c>
      <c r="C44" s="5" t="n">
        <v>6</v>
      </c>
      <c r="D44" s="6">
        <f>IF(OR($C$53="",$C$53=0),"",C44/$C$53)</f>
        <v>0.027777777777777776</v>
      </c>
      <c r="E44" s="7" t="inlineStr">
        <is>
          <t>{n}把旧年的符纸翻出来晒了晒，顺手烧掉几张。</t>
        </is>
      </c>
      <c r="F44" s="7" t="inlineStr">
        <is>
          <t>无</t>
        </is>
      </c>
      <c r="G44" s="7" t="inlineStr">
        <is>
          <t>无任何效果</t>
        </is>
      </c>
      <c r="H44" s="4" t="inlineStr">
        <is>
          <t>文案未声明</t>
        </is>
      </c>
      <c r="I44" s="7" t="inlineStr">
        <is>
          <t>纯剧情 · 新增（2026-09-12）</t>
        </is>
      </c>
      <c r="J44" s="4" t="inlineStr">
        <is>
          <t>无（平常）</t>
        </is>
      </c>
    </row>
    <row r="45">
      <c r="A45" s="3" t="n">
        <v>43</v>
      </c>
      <c r="B45" s="4" t="inlineStr">
        <is>
          <t>平常</t>
        </is>
      </c>
      <c r="C45" s="5" t="n">
        <v>5</v>
      </c>
      <c r="D45" s="6">
        <f>IF(OR($C$53="",$C$53=0),"",C45/$C$53)</f>
        <v>0.023148148148148147</v>
      </c>
      <c r="E45" s="7" t="inlineStr">
        <is>
          <t>{n}夜里睡不着，独自在演武场数了一夜星星。</t>
        </is>
      </c>
      <c r="F45" s="7" t="inlineStr">
        <is>
          <t>无</t>
        </is>
      </c>
      <c r="G45" s="7" t="inlineStr">
        <is>
          <t>无任何效果</t>
        </is>
      </c>
      <c r="H45" s="4" t="inlineStr">
        <is>
          <t>文案未声明</t>
        </is>
      </c>
      <c r="I45" s="7" t="inlineStr">
        <is>
          <t>纯剧情 · 新增（2026-09-12）</t>
        </is>
      </c>
      <c r="J45" s="4" t="inlineStr">
        <is>
          <t>无（平常）</t>
        </is>
      </c>
    </row>
    <row r="46">
      <c r="A46" s="3" t="n">
        <v>44</v>
      </c>
      <c r="B46" s="4" t="inlineStr">
        <is>
          <t>平常</t>
        </is>
      </c>
      <c r="C46" s="5" t="n">
        <v>5</v>
      </c>
      <c r="D46" s="6">
        <f>IF(OR($C$53="",$C$53=0),"",C46/$C$53)</f>
        <v>0.023148148148148147</v>
      </c>
      <c r="E46" s="7" t="inlineStr">
        <is>
          <t>{n}试着养了一盆灵植，第三日就枯了。</t>
        </is>
      </c>
      <c r="F46" s="7" t="inlineStr">
        <is>
          <t>无</t>
        </is>
      </c>
      <c r="G46" s="7" t="inlineStr">
        <is>
          <t>无任何效果</t>
        </is>
      </c>
      <c r="H46" s="4" t="inlineStr">
        <is>
          <t>文案未声明</t>
        </is>
      </c>
      <c r="I46" s="7" t="inlineStr">
        <is>
          <t>纯剧情 · 新增（2026-09-12）</t>
        </is>
      </c>
      <c r="J46" s="4" t="inlineStr">
        <is>
          <t>无（平常）</t>
        </is>
      </c>
    </row>
    <row r="47">
      <c r="A47" s="3" t="n">
        <v>45</v>
      </c>
      <c r="B47" s="4" t="inlineStr">
        <is>
          <t>情缘</t>
        </is>
      </c>
      <c r="C47" s="5" t="n">
        <v>3</v>
      </c>
      <c r="D47" s="6">
        <f>IF(OR($C$53="",$C$53=0),"",C47/$C$53)</f>
        <v>0.013888888888888888</v>
      </c>
      <c r="E47" s="7" t="inlineStr">
        <is>
          <t>{n}与{m}日久生情，结为了道侣，胸中欣悦，突破几率增加10%。</t>
        </is>
      </c>
      <c r="F47" s="7" t="inlineStr">
        <is>
          <t>突破几率 +10%</t>
        </is>
      </c>
      <c r="G47" s="7" t="inlineStr">
        <is>
          <t>双方心情 +15；结为道侣；双方突破加成 +10%</t>
        </is>
      </c>
      <c r="H47" s="4" t="inlineStr">
        <is>
          <t>一致</t>
        </is>
      </c>
      <c r="I47" s="7" t="inlineStr">
        <is>
          <t>—</t>
        </is>
      </c>
      <c r="J47" s="4" t="inlineStr">
        <is>
          <t>字面匹配</t>
        </is>
      </c>
    </row>
    <row r="48">
      <c r="A48" s="3" t="n">
        <v>46</v>
      </c>
      <c r="B48" s="4" t="inlineStr">
        <is>
          <t>情缘</t>
        </is>
      </c>
      <c r="C48" s="5" t="n">
        <v>3</v>
      </c>
      <c r="D48" s="6">
        <f>IF(OR($C$53="",$C$53=0),"",C48/$C$53)</f>
        <v>0.013888888888888888</v>
      </c>
      <c r="E48" s="7" t="inlineStr">
        <is>
          <t>{n}对{m}情根深种，却迟迟不敢开口。</t>
        </is>
      </c>
      <c r="F48" s="7" t="inlineStr">
        <is>
          <t>无</t>
        </is>
      </c>
      <c r="G48" s="7" t="inlineStr">
        <is>
          <t>心情 +15</t>
        </is>
      </c>
      <c r="H48" s="4" t="inlineStr">
        <is>
          <t>文案未声明</t>
        </is>
      </c>
      <c r="I48" s="7" t="inlineStr">
        <is>
          <t>—</t>
        </is>
      </c>
      <c r="J48" s="4" t="inlineStr">
        <is>
          <t>字面匹配</t>
        </is>
      </c>
    </row>
    <row r="49">
      <c r="A49" s="3" t="n">
        <v>47</v>
      </c>
      <c r="B49" s="4" t="inlineStr">
        <is>
          <t>情缘</t>
        </is>
      </c>
      <c r="C49" s="5" t="n">
        <v>2</v>
      </c>
      <c r="D49" s="6">
        <f>IF(OR($C$53="",$C$53=0),"",C49/$C$53)</f>
        <v>0.009259259259259259</v>
      </c>
      <c r="E49" s="7" t="inlineStr">
        <is>
          <t>{n}与{m}在月下互诉衷肠，被掌门撞见，颇有些尴尬。</t>
        </is>
      </c>
      <c r="F49" s="7" t="inlineStr">
        <is>
          <t>无</t>
        </is>
      </c>
      <c r="G49" s="7" t="inlineStr">
        <is>
          <t>心情 +15</t>
        </is>
      </c>
      <c r="H49" s="4" t="inlineStr">
        <is>
          <t>文案未声明</t>
        </is>
      </c>
      <c r="I49" s="7" t="inlineStr">
        <is>
          <t>—</t>
        </is>
      </c>
      <c r="J49" s="4" t="inlineStr">
        <is>
          <t>字面匹配</t>
        </is>
      </c>
    </row>
    <row r="50">
      <c r="A50" s="3" t="n">
        <v>48</v>
      </c>
      <c r="B50" s="4" t="inlineStr">
        <is>
          <t>情缘</t>
        </is>
      </c>
      <c r="C50" s="5" t="n">
        <v>5</v>
      </c>
      <c r="D50" s="6">
        <f>IF(OR($C$53="",$C$53=0),"",C50/$C$53)</f>
        <v>0.023148148148148147</v>
      </c>
      <c r="E50" s="7" t="inlineStr">
        <is>
          <t>{n}与{m}一同下山采买，归途遇雨共避一檐，相顾无言，耳根却红了。心情 +15</t>
        </is>
      </c>
      <c r="F50" s="7" t="inlineStr">
        <is>
          <t>心情 +15</t>
        </is>
      </c>
      <c r="G50" s="7" t="inlineStr">
        <is>
          <t>心情 +15</t>
        </is>
      </c>
      <c r="H50" s="4" t="inlineStr">
        <is>
          <t>一致</t>
        </is>
      </c>
      <c r="I50" s="7" t="inlineStr">
        <is>
          <t>新增（2026-09-12）· 走 eff 结构化</t>
        </is>
      </c>
      <c r="J50" s="4" t="inlineStr">
        <is>
          <t>eff 结构化</t>
        </is>
      </c>
    </row>
    <row r="51">
      <c r="A51" s="3" t="n">
        <v>49</v>
      </c>
      <c r="B51" s="4" t="inlineStr">
        <is>
          <t>情缘</t>
        </is>
      </c>
      <c r="C51" s="5" t="n">
        <v>3</v>
      </c>
      <c r="D51" s="6">
        <f>IF(OR($C$53="",$C$53=0),"",C51/$C$53)</f>
        <v>0.013888888888888888</v>
      </c>
      <c r="E51" s="7" t="inlineStr">
        <is>
          <t>{n}与{m}历经波折终成眷属，同修之路再不孤单。心情 +15</t>
        </is>
      </c>
      <c r="F51" s="7" t="inlineStr">
        <is>
          <t>心情 +15</t>
        </is>
      </c>
      <c r="G51" s="7" t="inlineStr">
        <is>
          <t>心情 +15；结为道侣（双方突破加成 +10%）</t>
        </is>
      </c>
      <c r="H51" s="4" t="inlineStr">
        <is>
          <t>一致</t>
        </is>
      </c>
      <c r="I51" s="7" t="inlineStr">
        <is>
          <t>新增（2026-09-12）· 走 eff 结构化</t>
        </is>
      </c>
      <c r="J51" s="4" t="inlineStr">
        <is>
          <t>eff 结构化</t>
        </is>
      </c>
    </row>
    <row r="52">
      <c r="A52" s="3" t="n">
        <v>50</v>
      </c>
      <c r="B52" s="4" t="inlineStr">
        <is>
          <t>堕魔</t>
        </is>
      </c>
      <c r="C52" s="5" t="n">
        <v>4</v>
      </c>
      <c r="D52" s="6">
        <f>IF(OR($C$53="",$C$53=0),"",C52/$C$53)</f>
        <v>0.018518518518518517</v>
      </c>
      <c r="E52" s="7" t="inlineStr">
        <is>
          <t>{n}无法突破心魔，堕为魔修，从此再无回头路。</t>
        </is>
      </c>
      <c r="F52" s="7" t="inlineStr">
        <is>
          <t>堕为魔修</t>
        </is>
      </c>
      <c r="G52" s="7" t="inlineStr">
        <is>
          <t>标记为魔修；心情强制设为 20；突破加成 -5%</t>
        </is>
      </c>
      <c r="H52" s="4" t="inlineStr">
        <is>
          <t>一致</t>
        </is>
      </c>
      <c r="I52" s="7" t="inlineStr">
        <is>
          <t>已调整（2026-09-12）：权重 2 → 4，与 DataCore.gd 对齐</t>
        </is>
      </c>
      <c r="J52" s="4" t="inlineStr">
        <is>
          <t>字面匹配</t>
        </is>
      </c>
    </row>
    <row r="53">
      <c r="A53" s="8" t="inlineStr">
        <is>
          <t>合计</t>
        </is>
      </c>
      <c r="B53" s="8" t="n"/>
      <c r="C53" s="9">
        <f>SUM(C3:C52)</f>
        <v>216</v>
      </c>
      <c r="D53" s="10">
        <f>IF(OR($C$53="",$C$53=0),"",C53/$C$53)</f>
        <v>1</v>
      </c>
      <c r="E53" s="8" t="str">
        <f>COUNTA(E3:E52) &amp; " 条事件"</f>
        <v>50 条事件</v>
      </c>
      <c r="F53" s="8" t="n"/>
      <c r="G53" s="8" t="n"/>
      <c r="H53" s="8" t="n"/>
      <c r="I53" s="8" t="n"/>
      <c r="J53" s="8" t="n"/>
    </row>
  </sheetData>
  <autoFilter ref="A2:J52"/>
  <mergeCells count="2">
    <mergeCell ref="A1:J1"/>
    <mergeCell ref="A53:B53"/>
  </mergeCells>
  <conditionalFormatting sqref="B3:B52">
    <cfRule type="cellIs" priority="1" operator="equal" dxfId="0">
      <formula>"吉"</formula>
    </cfRule>
    <cfRule type="cellIs" priority="2" operator="equal" dxfId="1">
      <formula>"凶"</formula>
    </cfRule>
    <cfRule type="cellIs" priority="3" operator="equal" dxfId="1">
      <formula>"堕魔"</formula>
    </cfRule>
    <cfRule type="cellIs" priority="4" operator="equal" dxfId="2">
      <formula>"情缘"</formula>
    </cfRule>
  </conditionalFormatting>
  <conditionalFormatting sqref="H3:H52">
    <cfRule type="cellIs" priority="5" operator="equal" dxfId="0">
      <formula>"一致"</formula>
    </cfRule>
    <cfRule type="cellIs" priority="6" operator="equal" dxfId="1">
      <formula>"不一致"</formula>
    </cfRule>
    <cfRule type="cellIs" priority="7" operator="equal" dxfId="2">
      <formula>"文案未声明"</formula>
    </cfRule>
  </conditionalFormatting>
  <conditionalFormatting sqref="J3:J52">
    <cfRule type="cellIs" priority="8" operator="equal" dxfId="3">
      <formula>"eff 结构化"</formula>
    </cfRule>
    <cfRule type="cellIs" priority="9" operator="equal" dxfId="4">
      <formula>"字面匹配"</formula>
    </cfRule>
    <cfRule type="cellIs" priority="10" operator="equal" dxfId="4">
      <formula>"无（平常）"</formula>
    </cfRule>
  </conditionalFormatting>
  <dataValidations count="1">
    <dataValidation sqref="H3:H52" showDropDown="0" showInputMessage="0" showErrorMessage="0" allowBlank="0" type="list">
      <formula1>"一致,不一致,文案未声明"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58" customWidth="1" min="4" max="4"/>
    <col width="50" customWidth="1" min="5" max="5"/>
    <col width="8" customWidth="1" min="6" max="6"/>
  </cols>
  <sheetData>
    <row r="1" ht="26" customHeight="1">
      <c r="A1" s="1" t="inlineStr">
        <is>
          <t>修仙门派 · 宗门纪事（行动页日志）其它来源，共 29 条</t>
        </is>
      </c>
      <c r="B1" s="1" t="n"/>
      <c r="C1" s="1" t="n"/>
      <c r="D1" s="1" t="n"/>
      <c r="E1" s="1" t="n"/>
      <c r="F1" s="1" t="n"/>
    </row>
    <row r="2" ht="22" customHeight="1">
      <c r="A2" s="2" t="inlineStr">
        <is>
          <t>序号</t>
        </is>
      </c>
      <c r="B2" s="2" t="inlineStr">
        <is>
          <t>触发时机</t>
        </is>
      </c>
      <c r="C2" s="2" t="inlineStr">
        <is>
          <t>触发条件</t>
        </is>
      </c>
      <c r="D2" s="2" t="inlineStr">
        <is>
          <t>日志文案</t>
        </is>
      </c>
      <c r="E2" s="2" t="inlineStr">
        <is>
          <t>实际效果</t>
        </is>
      </c>
      <c r="F2" s="2" t="inlineStr">
        <is>
          <t>类别</t>
        </is>
      </c>
    </row>
    <row r="3">
      <c r="A3" s="3" t="n">
        <v>1</v>
      </c>
      <c r="B3" s="7" t="inlineStr">
        <is>
          <t>开局 · 创建宗门</t>
        </is>
      </c>
      <c r="C3" s="7" t="inlineStr">
        <is>
          <t>new_game 时固定写入</t>
        </is>
      </c>
      <c r="D3" s="7" t="inlineStr">
        <is>
          <t>{掌门}镇压了本地的邪祟，创建了{宗门}，镇压邪祟获得功德。</t>
        </is>
      </c>
      <c r="E3" s="7" t="inlineStr">
        <is>
          <t>无（开场叙事）</t>
        </is>
      </c>
      <c r="F3" s="4" t="inlineStr">
        <is>
          <t>吉</t>
        </is>
      </c>
    </row>
    <row r="4">
      <c r="A4" s="3" t="n">
        <v>2</v>
      </c>
      <c r="B4" s="7" t="inlineStr">
        <is>
          <t>开局 · 创建宗门</t>
        </is>
      </c>
      <c r="C4" s="7" t="inlineStr">
        <is>
          <t>new_game 时固定写入</t>
        </is>
      </c>
      <c r="D4" s="7" t="inlineStr">
        <is>
          <t>提示：先在设施页把弟子分派到各峰，宗门才能运转起来。</t>
        </is>
      </c>
      <c r="E4" s="7" t="inlineStr">
        <is>
          <t>无（操作引导）</t>
        </is>
      </c>
      <c r="F4" s="4" t="inlineStr">
        <is>
          <t>提示</t>
        </is>
      </c>
    </row>
    <row r="5">
      <c r="A5" s="3" t="n">
        <v>3</v>
      </c>
      <c r="B5" s="7" t="inlineStr">
        <is>
          <t>每旬</t>
        </is>
      </c>
      <c r="C5" s="7" t="inlineStr">
        <is>
          <t>概率 = 0.02 + min(0.12, 庇护人数 ÷ 20000)，且当前人数 &lt; 容量</t>
        </is>
      </c>
      <c r="D5" s="7" t="inlineStr">
        <is>
          <t>{弟子}自门派大比脱颖而出，拜入宗门成为{内门/外门}弟子，时年{年龄}岁。</t>
        </is>
      </c>
      <c r="E5" s="7" t="inlineStr">
        <is>
          <t>新增 1 名弟子；35% 概率为内门，其余为外门</t>
        </is>
      </c>
      <c r="F5" s="4" t="inlineStr">
        <is>
          <t>吉</t>
        </is>
      </c>
    </row>
    <row r="6">
      <c r="A6" s="3" t="n">
        <v>4</v>
      </c>
      <c r="B6" s="7" t="inlineStr">
        <is>
          <t>每年</t>
        </is>
      </c>
      <c r="C6" s="7" t="inlineStr">
        <is>
          <t>弟子特质带 demon 值、掷中该概率，且每人只触发一次</t>
        </is>
      </c>
      <c r="D6" s="7" t="inlineStr">
        <is>
          <t>{弟子}无法突破心魔，堕为魔修。</t>
        </is>
      </c>
      <c r="E6" s="7" t="inlineStr">
        <is>
          <t>堕魔：标记魔修、心情强制 20、突破加成 -5%</t>
        </is>
      </c>
      <c r="F6" s="4" t="inlineStr">
        <is>
          <t>凶</t>
        </is>
      </c>
    </row>
    <row r="7">
      <c r="A7" s="3" t="n">
        <v>5</v>
      </c>
      <c r="B7" s="7" t="inlineStr">
        <is>
          <t>每旬 · 修炼结算</t>
        </is>
      </c>
      <c r="C7" s="7" t="inlineStr">
        <is>
          <t>弟子年龄 &gt; 寿元上限</t>
        </is>
      </c>
      <c r="D7" s="7" t="inlineStr">
        <is>
          <t>{弟子}寿元已尽，进入休眠。</t>
        </is>
      </c>
      <c r="E7" s="7" t="inlineStr">
        <is>
          <t>进入休眠（不再修炼与产出）；触发离世结算：卸任、法宝归公库、道侣心情 -30</t>
        </is>
      </c>
      <c r="F7" s="4" t="inlineStr">
        <is>
          <t>凶</t>
        </is>
      </c>
    </row>
    <row r="8">
      <c r="A8" s="3" t="n">
        <v>6</v>
      </c>
      <c r="B8" s="7" t="inlineStr">
        <is>
          <t>每旬 · 修炼结算</t>
        </is>
      </c>
      <c r="C8" s="7" t="inlineStr">
        <is>
          <t>小阶已到大圆满，且 1.5% 概率本次破境失败</t>
        </is>
      </c>
      <c r="D8" s="7" t="inlineStr">
        <is>
          <t>{弟子}冲击{下一境界}未成，暂且按下。</t>
        </is>
      </c>
      <c r="E8" s="7" t="inlineStr">
        <is>
          <t>心情 -5</t>
        </is>
      </c>
      <c r="F8" s="4" t="inlineStr">
        <is>
          <t>凶</t>
        </is>
      </c>
    </row>
    <row r="9">
      <c r="A9" s="3" t="n">
        <v>7</v>
      </c>
      <c r="B9" s="7" t="inlineStr">
        <is>
          <t>破境判定</t>
        </is>
      </c>
      <c r="C9" s="7" t="inlineStr">
        <is>
          <t>掷中渡劫死亡率，且该弟子没有 “重生” 特质</t>
        </is>
      </c>
      <c r="D9" s="7" t="inlineStr">
        <is>
          <t>{弟子}渡劫失败，不幸陨落。</t>
        </is>
      </c>
      <c r="E9" s="7" t="inlineStr">
        <is>
          <t>该弟子死亡；触发离世结算</t>
        </is>
      </c>
      <c r="F9" s="4" t="inlineStr">
        <is>
          <t>凶</t>
        </is>
      </c>
    </row>
    <row r="10">
      <c r="A10" s="3" t="n">
        <v>8</v>
      </c>
      <c r="B10" s="7" t="inlineStr">
        <is>
          <t>破境成功</t>
        </is>
      </c>
      <c r="C10" s="7" t="inlineStr">
        <is>
          <t>境界达到第 10 档（飞升）</t>
        </is>
      </c>
      <c r="D10" s="7" t="inlineStr">
        <is>
          <t>{弟子}功德圆满，白日飞升，从此不在这片天地。</t>
        </is>
      </c>
      <c r="E10" s="7" t="inlineStr">
        <is>
          <t>飞升离场；修复天梯一层；触发离世结算</t>
        </is>
      </c>
      <c r="F10" s="4" t="inlineStr">
        <is>
          <t>吉</t>
        </is>
      </c>
    </row>
    <row r="11">
      <c r="A11" s="3" t="n">
        <v>9</v>
      </c>
      <c r="B11" s="7" t="inlineStr">
        <is>
          <t>破境成功</t>
        </is>
      </c>
      <c r="C11" s="7" t="inlineStr">
        <is>
          <t>非飞升的普通破境</t>
        </is>
      </c>
      <c r="D11" s="7" t="inlineStr">
        <is>
          <t>{弟子}闭关苦修，一朝破境，晋为{境界}。</t>
        </is>
      </c>
      <c r="E11" s="7" t="inlineStr">
        <is>
          <t>境界 +1、小阶归 0、心情 +25</t>
        </is>
      </c>
      <c r="F11" s="4" t="inlineStr">
        <is>
          <t>吉</t>
        </is>
      </c>
    </row>
    <row r="12">
      <c r="A12" s="3" t="n">
        <v>10</v>
      </c>
      <c r="B12" s="7" t="inlineStr">
        <is>
          <t>弟子飞升</t>
        </is>
      </c>
      <c r="C12" s="7" t="inlineStr">
        <is>
          <t>天梯层数 &lt; 9</t>
        </is>
      </c>
      <c r="D12" s="7" t="inlineStr">
        <is>
          <t>天梯第{n}层「{名}」修复完成，天道赐下{奖励}，功德 +50。</t>
        </is>
      </c>
      <c r="E12" s="7" t="inlineStr">
        <is>
          <t>天梯层数 +1；功德 +50</t>
        </is>
      </c>
      <c r="F12" s="4" t="inlineStr">
        <is>
          <t>吉</t>
        </is>
      </c>
    </row>
    <row r="13">
      <c r="A13" s="3" t="n">
        <v>11</v>
      </c>
      <c r="B13" s="7" t="inlineStr">
        <is>
          <t>弟子离世</t>
        </is>
      </c>
      <c r="C13" s="7" t="inlineStr">
        <is>
          <t>离世弟子正担任掌门</t>
        </is>
      </c>
      <c r="D13" s="7" t="inlineStr">
        <is>
          <t>掌门{弟子}已不在，需在门徒页另立新掌门。</t>
        </is>
      </c>
      <c r="E13" s="7" t="inlineStr">
        <is>
          <t>提示玩家重新立掌门（职位已被清空）</t>
        </is>
      </c>
      <c r="F13" s="4" t="inlineStr">
        <is>
          <t>提示</t>
        </is>
      </c>
    </row>
    <row r="14">
      <c r="A14" s="3" t="n">
        <v>12</v>
      </c>
      <c r="B14" s="7" t="inlineStr">
        <is>
          <t>每旬 · 伏魔峰除魔</t>
        </is>
      </c>
      <c r="C14" s="7" t="inlineStr">
        <is>
          <t>伏魔峰有外门弟子，且风险 &gt; 0.25，且掷中 (风险-0.2)×0.06</t>
        </is>
      </c>
      <c r="D14" s="7" t="inlineStr">
        <is>
          <t>{弟子}在和魔修的战斗中受伤过重，不幸陨落。</t>
        </is>
      </c>
      <c r="E14" s="7" t="inlineStr">
        <is>
          <t>该外门弟子死亡；触发离世结算</t>
        </is>
      </c>
      <c r="F14" s="4" t="inlineStr">
        <is>
          <t>凶</t>
        </is>
      </c>
    </row>
    <row r="15">
      <c r="A15" s="3" t="n">
        <v>13</v>
      </c>
      <c r="B15" s="7" t="inlineStr">
        <is>
          <t>每旬 · 伏魔峰秘境</t>
        </is>
      </c>
      <c r="C15" s="7" t="inlineStr">
        <is>
          <t>秘境有峰主，且队伍武力 ≥ 秘境要求，且探索进度满 100</t>
        </is>
      </c>
      <c r="D15" s="7" t="inlineStr">
        <is>
          <t>探索队伍攻略了{秘境}，带回灵草×{h}、灵材×{o}、灵石{金额}。</t>
        </is>
      </c>
      <c r="E15" s="7" t="inlineStr">
        <is>
          <t>对应等级灵草 +3~8、灵材 +3~8；灵石 +200~600×(1+等级×2)；峰主心情 +10</t>
        </is>
      </c>
      <c r="F15" s="4" t="inlineStr">
        <is>
          <t>吉</t>
        </is>
      </c>
    </row>
    <row r="16">
      <c r="A16" s="3" t="n">
        <v>14</v>
      </c>
      <c r="B16" s="7" t="inlineStr">
        <is>
          <t>每旬 · 丹鼎峰</t>
        </is>
      </c>
      <c r="C16" s="7" t="inlineStr">
        <is>
          <t>丹鼎峰有峰主，且所选丹药所需等级的灵草 ≥ 2</t>
        </is>
      </c>
      <c r="D16" s="7" t="inlineStr">
        <is>
          <t>丹阁炼得{丹药}一枚。</t>
        </is>
      </c>
      <c r="E16" s="7" t="inlineStr">
        <is>
          <t>灵草 -2；该丹药 +1</t>
        </is>
      </c>
      <c r="F16" s="4" t="inlineStr">
        <is>
          <t>吉</t>
        </is>
      </c>
    </row>
    <row r="17">
      <c r="A17" s="3" t="n">
        <v>15</v>
      </c>
      <c r="B17" s="7" t="inlineStr">
        <is>
          <t>每旬 · 百器峰</t>
        </is>
      </c>
      <c r="C17" s="7" t="inlineStr">
        <is>
          <t>百器峰有峰主，且所选等级的灵材 ≥ 3</t>
        </is>
      </c>
      <c r="D17" s="7" t="inlineStr">
        <is>
          <t>器楼铸得{品阶}{法宝名}一件。</t>
        </is>
      </c>
      <c r="E17" s="7" t="inlineStr">
        <is>
          <t>灵材 -3；随机法宝 +1</t>
        </is>
      </c>
      <c r="F17" s="4" t="inlineStr">
        <is>
          <t>吉</t>
        </is>
      </c>
    </row>
    <row r="18">
      <c r="A18" s="3" t="n">
        <v>16</v>
      </c>
      <c r="B18" s="7" t="inlineStr">
        <is>
          <t>每旬 · 撰书阁</t>
        </is>
      </c>
      <c r="C18" s="7" t="inlineStr">
        <is>
          <t>撰书阁有撰书人，且累计撰写进度满 360 旬（10 年）</t>
        </is>
      </c>
      <c r="D18" s="7" t="inlineStr">
        <is>
          <t>{弟子}撰写了《{功法名}》，宗门内符合条件的弟子皆受其益。</t>
        </is>
      </c>
      <c r="E18" s="7" t="inlineStr">
        <is>
          <t>随机功法 +1；撰书人心情 +30</t>
        </is>
      </c>
      <c r="F18" s="4" t="inlineStr">
        <is>
          <t>吉</t>
        </is>
      </c>
    </row>
    <row r="19">
      <c r="A19" s="3" t="n">
        <v>17</v>
      </c>
      <c r="B19" s="7" t="inlineStr">
        <is>
          <t>约每 180 旬</t>
        </is>
      </c>
      <c r="C19" s="7" t="inlineStr">
        <is>
          <t>宗门大比倒计时归零</t>
        </is>
      </c>
      <c r="D19" s="7" t="inlineStr">
        <is>
          <t>宗门大比，{弟子}脱颖而出，拜入宗门成为内门弟子，获赐{品阶}{法宝名}。</t>
        </is>
      </c>
      <c r="E19" s="7" t="inlineStr">
        <is>
          <t>该弟子转为内门、心情 +30；宗门灵石 +2000；随机法宝 +1</t>
        </is>
      </c>
      <c r="F19" s="4" t="inlineStr">
        <is>
          <t>吉</t>
        </is>
      </c>
    </row>
    <row r="20">
      <c r="A20" s="3" t="n">
        <v>18</v>
      </c>
      <c r="B20" s="7" t="inlineStr">
        <is>
          <t>每旬 · 无掌门时</t>
        </is>
      </c>
      <c r="C20" s="7" t="inlineStr">
        <is>
          <t>宗门当前没有任何掌门</t>
        </is>
      </c>
      <c r="D20" s="7" t="inlineStr">
        <is>
          <t>{弟子}被推举为新任掌门。</t>
        </is>
      </c>
      <c r="E20" s="7" t="inlineStr">
        <is>
          <t>境界最高者自动继任掌门</t>
        </is>
      </c>
      <c r="F20" s="4" t="inlineStr">
        <is>
          <t>提示</t>
        </is>
      </c>
    </row>
    <row r="21">
      <c r="A21" s="3" t="n">
        <v>19</v>
      </c>
      <c r="B21" s="7" t="inlineStr">
        <is>
          <t>手动立掌门</t>
        </is>
      </c>
      <c r="C21" s="7" t="inlineStr">
        <is>
          <t>玩家在门徒页指定</t>
        </is>
      </c>
      <c r="D21" s="7" t="inlineStr">
        <is>
          <t>{弟子}继任掌门。</t>
        </is>
      </c>
      <c r="E21" s="7" t="inlineStr">
        <is>
          <t>掌门易位；该弟子转为内门</t>
        </is>
      </c>
      <c r="F21" s="4" t="inlineStr">
        <is>
          <t>提示</t>
        </is>
      </c>
    </row>
    <row r="22">
      <c r="A22" s="3" t="n">
        <v>20</v>
      </c>
      <c r="B22" s="7" t="inlineStr">
        <is>
          <t>服用丹药</t>
        </is>
      </c>
      <c r="C22" s="7" t="inlineStr">
        <is>
          <t>服用疗伤类丹药</t>
        </is>
      </c>
      <c r="D22" s="7" t="inlineStr">
        <is>
          <t>{弟子}服下{丹药}，略作调息。</t>
        </is>
      </c>
      <c r="E22" s="7" t="inlineStr">
        <is>
          <t>获得一次渡劫免死保护</t>
        </is>
      </c>
      <c r="F22" s="4" t="inlineStr">
        <is>
          <t>普通</t>
        </is>
      </c>
    </row>
    <row r="23">
      <c r="A23" s="3" t="n">
        <v>21</v>
      </c>
      <c r="B23" s="7" t="inlineStr">
        <is>
          <t>服用丹药</t>
        </is>
      </c>
      <c r="C23" s="7" t="inlineStr">
        <is>
          <t>服用突破类丹药</t>
        </is>
      </c>
      <c r="D23" s="7" t="inlineStr">
        <is>
          <t>{弟子}服下{丹药}，突破几率提升。</t>
        </is>
      </c>
      <c r="E23" s="7" t="inlineStr">
        <is>
          <t>突破加成 += 该丹药的 brk 值；丹药数量 -1</t>
        </is>
      </c>
      <c r="F23" s="4" t="inlineStr">
        <is>
          <t>吉</t>
        </is>
      </c>
    </row>
    <row r="24">
      <c r="A24" s="3" t="n">
        <v>22</v>
      </c>
      <c r="B24" s="7" t="inlineStr">
        <is>
          <t>服用丹药</t>
        </is>
      </c>
      <c r="C24" s="7" t="inlineStr">
        <is>
          <t>服用洗髓丹（灵根数 &gt; 1）</t>
        </is>
      </c>
      <c r="D24" s="7" t="inlineStr">
        <is>
          <t>{弟子}服下洗髓丹，洗去末位灵根，灵根晋升为{灵根}。</t>
        </is>
      </c>
      <c r="E24" s="7" t="inlineStr">
        <is>
          <t>移除最后一个灵根属性；灵根档位 +1；丹药 -1</t>
        </is>
      </c>
      <c r="F24" s="4" t="inlineStr">
        <is>
          <t>吉</t>
        </is>
      </c>
    </row>
    <row r="25">
      <c r="A25" s="3" t="n">
        <v>23</v>
      </c>
      <c r="B25" s="7" t="inlineStr">
        <is>
          <t>服用丹药</t>
        </is>
      </c>
      <c r="C25" s="7" t="inlineStr">
        <is>
          <t>服用洗髓丹，但该弟子是单灵根</t>
        </is>
      </c>
      <c r="D25" s="7" t="inlineStr">
        <is>
          <t>{弟子}是单灵根，无法洗髓。</t>
        </is>
      </c>
      <c r="E25" s="7" t="inlineStr">
        <is>
          <t>无效果，且丹药不被消耗</t>
        </is>
      </c>
      <c r="F25" s="4" t="inlineStr">
        <is>
          <t>提示</t>
        </is>
      </c>
    </row>
    <row r="26">
      <c r="A26" s="3" t="n">
        <v>24</v>
      </c>
      <c r="B26" s="7" t="inlineStr">
        <is>
          <t>复活弟子</t>
        </is>
      </c>
      <c r="C26" s="7" t="inlineStr">
        <is>
          <t>对已故弟子使用九转还魂丹</t>
        </is>
      </c>
      <c r="D26" s="7" t="inlineStr">
        <is>
          <t>{弟子}服下九转还魂丹，自鬼门关折返。</t>
        </is>
      </c>
      <c r="E26" s="7" t="inlineStr">
        <is>
          <t>复活；寿元上限 += 当前境界基础寿元的 30%；修为清零</t>
        </is>
      </c>
      <c r="F26" s="4" t="inlineStr">
        <is>
          <t>吉</t>
        </is>
      </c>
    </row>
    <row r="27">
      <c r="A27" s="3" t="n">
        <v>25</v>
      </c>
      <c r="B27" s="7" t="inlineStr">
        <is>
          <t>复活弟子</t>
        </is>
      </c>
      <c r="C27" s="7" t="inlineStr">
        <is>
          <t>对休眠弟子使用仙灵延寿丹</t>
        </is>
      </c>
      <c r="D27" s="7" t="inlineStr">
        <is>
          <t>{弟子}服下仙灵延寿丹，续得寿元。</t>
        </is>
      </c>
      <c r="E27" s="7" t="inlineStr">
        <is>
          <t>解除休眠并复活；寿元上限 += 整档基础寿元；修为清零</t>
        </is>
      </c>
      <c r="F27" s="4" t="inlineStr">
        <is>
          <t>吉</t>
        </is>
      </c>
    </row>
    <row r="28">
      <c r="A28" s="3" t="n">
        <v>26</v>
      </c>
      <c r="B28" s="7" t="inlineStr">
        <is>
          <t>升级功德建筑</t>
        </is>
      </c>
      <c r="C28" s="7" t="inlineStr">
        <is>
          <t>功德值 ≥ (当前等级 + 1) × 10</t>
        </is>
      </c>
      <c r="D28" s="7" t="inlineStr">
        <is>
          <t>{建筑}升至{n}级。</t>
        </is>
      </c>
      <c r="E28" s="7" t="inlineStr">
        <is>
          <t>扣除对应功德；该建筑等级 +1</t>
        </is>
      </c>
      <c r="F28" s="4" t="inlineStr">
        <is>
          <t>吉</t>
        </is>
      </c>
    </row>
    <row r="29">
      <c r="A29" s="3" t="n">
        <v>27</v>
      </c>
      <c r="B29" s="7" t="inlineStr">
        <is>
          <t>升级屋舍</t>
        </is>
      </c>
      <c r="C29" s="7" t="inlineStr">
        <is>
          <t>灵石 ≥ 当前等级 × 800</t>
        </is>
      </c>
      <c r="D29" s="7" t="inlineStr">
        <is>
          <t>屋舍升至{n}级，外门弟子上限提升。</t>
        </is>
      </c>
      <c r="E29" s="7" t="inlineStr">
        <is>
          <t>扣除灵石；屋舍等级 +1（弟子容量 = 6 + 等级 × 4）</t>
        </is>
      </c>
      <c r="F29" s="4" t="inlineStr">
        <is>
          <t>吉</t>
        </is>
      </c>
    </row>
    <row r="30">
      <c r="A30" s="3" t="n">
        <v>28</v>
      </c>
      <c r="B30" s="7" t="inlineStr">
        <is>
          <t>升级护山大阵</t>
        </is>
      </c>
      <c r="C30" s="7" t="inlineStr">
        <is>
          <t>灵石 ≥ 当前等级 × 1200</t>
        </is>
      </c>
      <c r="D30" s="7" t="inlineStr">
        <is>
          <t>护山大阵升至{n}级</t>
        </is>
      </c>
      <c r="E30" s="7" t="inlineStr">
        <is>
          <t>扣除灵石；大阵等级 +1（降低伏魔峰战损风险）</t>
        </is>
      </c>
      <c r="F30" s="4" t="inlineStr">
        <is>
          <t>吉</t>
        </is>
      </c>
    </row>
    <row r="31">
      <c r="A31" s="3" t="n">
        <v>29</v>
      </c>
      <c r="B31" s="7" t="inlineStr">
        <is>
          <t>进入新的轮回</t>
        </is>
      </c>
      <c r="C31" s="7" t="inlineStr">
        <is>
          <t>玩家点击 “进入新的轮回”</t>
        </is>
      </c>
      <c r="D31" s="7" t="inlineStr">
        <is>
          <t>进入新的轮回，天道感念宗门庇护民众{人数}人，结算功德 +{功德}。</t>
        </is>
      </c>
      <c r="E31" s="7" t="inlineStr">
        <is>
          <t>轮回数 +1；按庇护人数结算功德；宗门重建</t>
        </is>
      </c>
      <c r="F31" s="4" t="inlineStr">
        <is>
          <t>吉</t>
        </is>
      </c>
    </row>
    <row r="32">
      <c r="A32" s="8" t="inlineStr">
        <is>
          <t>合计</t>
        </is>
      </c>
      <c r="B32" s="8" t="n"/>
      <c r="C32" s="8" t="n"/>
      <c r="D32" s="8" t="str">
        <f>COUNTA(D3:D31) &amp; " 条日志来源"</f>
        <v>29 条日志来源</v>
      </c>
      <c r="E32" s="8" t="n"/>
      <c r="F32" s="8" t="n"/>
    </row>
  </sheetData>
  <autoFilter ref="A2:F31"/>
  <mergeCells count="2">
    <mergeCell ref="A32:C32"/>
    <mergeCell ref="A1:F1"/>
  </mergeCells>
  <conditionalFormatting sqref="F3:F31">
    <cfRule type="cellIs" priority="1" operator="equal" dxfId="0">
      <formula>"吉"</formula>
    </cfRule>
    <cfRule type="cellIs" priority="2" operator="equal" dxfId="1">
      <formula>"凶"</formula>
    </cfRule>
    <cfRule type="cellIs" priority="3" operator="equal" dxfId="2">
      <formula>"提示"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4" customWidth="1" min="2" max="2"/>
    <col width="44" customWidth="1" min="3" max="3"/>
  </cols>
  <sheetData>
    <row r="1" ht="26" customHeight="1">
      <c r="A1" s="1" t="inlineStr">
        <is>
          <t>修仙门派 · 随机事件机制说明</t>
        </is>
      </c>
      <c r="B1" s="1" t="n"/>
      <c r="C1" s="1" t="n"/>
    </row>
    <row r="2" ht="22" customHeight="1">
      <c r="A2" s="2" t="inlineStr">
        <is>
          <t>项目</t>
        </is>
      </c>
      <c r="B2" s="2" t="inlineStr">
        <is>
          <t>说明</t>
        </is>
      </c>
      <c r="C2" s="2" t="inlineStr">
        <is>
          <t>数值 / 取值</t>
        </is>
      </c>
    </row>
    <row r="3">
      <c r="A3" s="11" t="inlineStr">
        <is>
          <t>触发周期</t>
        </is>
      </c>
      <c r="B3" s="7" t="inlineStr">
        <is>
          <t>每旬（一次 tick）结算一次随机事件判定</t>
        </is>
      </c>
      <c r="C3" s="7" t="inlineStr">
        <is>
          <t>每旬 1 次</t>
        </is>
      </c>
    </row>
    <row r="4">
      <c r="A4" s="11" t="inlineStr">
        <is>
          <t>触发概率</t>
        </is>
      </c>
      <c r="B4" s="7" t="inlineStr">
        <is>
          <t>每旬真正触发一次随机事件的概率</t>
        </is>
      </c>
      <c r="C4" s="7" t="inlineStr">
        <is>
          <t>28%（0.28）</t>
        </is>
      </c>
    </row>
    <row r="5">
      <c r="A5" s="11" t="inlineStr">
        <is>
          <t>目标选取</t>
        </is>
      </c>
      <c r="B5" s="7" t="inlineStr">
        <is>
          <t>从“在世、未飞升、未休眠”的弟子中等概率随机挑 1 人</t>
        </is>
      </c>
      <c r="C5" s="7" t="inlineStr">
        <is>
          <t>等概率</t>
        </is>
      </c>
    </row>
    <row r="6">
      <c r="A6" s="11" t="inlineStr">
        <is>
          <t>权重抽取</t>
        </is>
      </c>
      <c r="B6" s="7" t="inlineStr">
        <is>
          <t>按事件自身权重 w 做加权随机抽取</t>
        </is>
      </c>
      <c r="C6" s="7" t="inlineStr">
        <is>
          <t>总权重 205</t>
        </is>
      </c>
    </row>
    <row r="7">
      <c r="A7" s="11" t="inlineStr">
        <is>
          <t>气运之子加成</t>
        </is>
      </c>
      <c r="B7" s="7" t="inlineStr">
        <is>
          <t>被选中的弟子若带 “气运之子” 特质，所有吉事件权重 ×3</t>
        </is>
      </c>
      <c r="C7" s="7" t="inlineStr">
        <is>
          <t>吉 75 → 225</t>
        </is>
      </c>
    </row>
    <row r="8">
      <c r="A8" s="11" t="inlineStr">
        <is>
          <t>魔修加成</t>
        </is>
      </c>
      <c r="B8" s="7" t="inlineStr">
        <is>
          <t>被选中的弟子若已堕魔，堕魔事件权重 ×4</t>
        </is>
      </c>
      <c r="C8" s="7" t="inlineStr">
        <is>
          <t>堕魔 4 → 16</t>
        </is>
      </c>
    </row>
    <row r="9">
      <c r="A9" s="11" t="inlineStr">
        <is>
          <t>类别基础概率</t>
        </is>
      </c>
      <c r="B9" s="7" t="inlineStr">
        <is>
          <t>无任何加成时的类别命中概率（吉 75 / 平常 62 / 凶 48 / 情缘 16 / 堕魔 4）</t>
        </is>
      </c>
      <c r="C9" s="7" t="inlineStr">
        <is>
          <t>吉 36.6% · 平常 30.2% · 凶 23.4% · 情缘 7.8% · 堕魔 2.0%</t>
        </is>
      </c>
    </row>
    <row r="10">
      <c r="A10" s="11" t="inlineStr">
        <is>
          <t>通用心情</t>
        </is>
      </c>
      <c r="B10" s="7" t="inlineStr">
        <is>
          <t>只对「字面匹配」事件生效：吉额外 +10 心情、凶额外 -10（文案通常不写）。走 eff 的事件不适用，心情完全由 eff 声明且已写进文案</t>
        </is>
      </c>
      <c r="C10" s="7" t="inlineStr">
        <is>
          <t>仅字面匹配事件</t>
        </is>
      </c>
    </row>
    <row r="11">
      <c r="A11" s="11" t="inlineStr">
        <is>
          <t>平常事件</t>
        </is>
      </c>
      <c r="B11" s="7" t="inlineStr">
        <is>
          <t>类型为 neutral 的事件不进入任何效果分支</t>
        </is>
      </c>
      <c r="C11" s="7" t="inlineStr">
        <is>
          <t>无效果</t>
        </is>
      </c>
    </row>
    <row r="12">
      <c r="A12" s="11" t="inlineStr">
        <is>
          <t>占位符 {n}</t>
        </is>
      </c>
      <c r="B12" s="7" t="inlineStr">
        <is>
          <t>事件主角（被选中的弟子）姓名</t>
        </is>
      </c>
      <c r="C12" s="7" t="inlineStr">
        <is>
          <t>—</t>
        </is>
      </c>
    </row>
    <row r="13">
      <c r="A13" s="11" t="inlineStr">
        <is>
          <t>占位符 {m}</t>
        </is>
      </c>
      <c r="B13" s="7" t="inlineStr">
        <is>
          <t>随机一名异性弟子姓名，仅情缘事件使用</t>
        </is>
      </c>
      <c r="C13" s="7" t="inlineStr">
        <is>
          <t>—</t>
        </is>
      </c>
    </row>
    <row r="14">
      <c r="A14" s="11" t="inlineStr">
        <is>
          <t>占位符 {q}</t>
        </is>
      </c>
      <c r="B14" s="7" t="inlineStr">
        <is>
          <t>主角当前修为上限 × 30%</t>
        </is>
      </c>
      <c r="C14" s="7" t="inlineStr">
        <is>
          <t>qi_max × 0.3</t>
        </is>
      </c>
    </row>
    <row r="15">
      <c r="A15" s="11" t="inlineStr">
        <is>
          <t>占位符 {a}</t>
        </is>
      </c>
      <c r="B15" s="7" t="inlineStr">
        <is>
          <t>主角当前武力 × 10%（2026-09-12 起已无事件使用，仅保留计算）</t>
        </is>
      </c>
      <c r="C15" s="7" t="inlineStr">
        <is>
          <t>atk × 0.1</t>
        </is>
      </c>
    </row>
    <row r="16">
      <c r="A16" s="11" t="inlineStr">
        <is>
          <t>占位符 {s}</t>
        </is>
      </c>
      <c r="B16" s="7" t="inlineStr">
        <is>
          <t>随机 500~5000，再乘 (1 + 境界 × 2)（2026-09-12 起已无事件使用，仅保留计算）</t>
        </is>
      </c>
      <c r="C16" s="7" t="inlineStr">
        <is>
          <t>随机区间</t>
        </is>
      </c>
    </row>
    <row r="17">
      <c r="A17" s="11" t="inlineStr">
        <is>
          <t>占位符 {p}</t>
        </is>
      </c>
      <c r="B17" s="7" t="inlineStr">
        <is>
          <t>随机 20~200 的整数</t>
        </is>
      </c>
      <c r="C17" s="7" t="inlineStr">
        <is>
          <t>随机区间</t>
        </is>
      </c>
    </row>
    <row r="18">
      <c r="A18" s="11" t="inlineStr">
        <is>
          <t>效果分发（2026-09-12 起）</t>
        </is>
      </c>
      <c r="B18" s="7" t="inlineStr">
        <is>
          <t>两条路径：① 事件带 eff 字段 → 按 eff 逐项结构化施加（16 条）；② 不带 eff → 沿用原来的文案子串匹配（34 条，其中 11 条是平常事件、无效果）。旧事件一条未改，行为逐位不变</t>
        </is>
      </c>
      <c r="C18" s="7" t="inlineStr">
        <is>
          <t>eff 16 / 字面匹配 34</t>
        </is>
      </c>
    </row>
    <row r="19">
      <c r="A19" s="11" t="inlineStr">
        <is>
          <t>eff 模式约定</t>
        </is>
      </c>
      <c r="B19" s="7" t="inlineStr">
        <is>
          <t>eff 模式「完全接管」：不再自动附加任何通用心情；新增事件的心情增减已全部写进文案，做到「文案写的 = 实际发生的」</t>
        </is>
      </c>
      <c r="C19" s="7" t="inlineStr">
        <is>
          <t>16 条</t>
        </is>
      </c>
    </row>
    <row r="20">
      <c r="A20" s="11" t="inlineStr">
        <is>
          <t>eff 可用效果键</t>
        </is>
      </c>
      <c r="B20" s="7" t="inlineStr">
        <is>
          <t>qiRate 修炼速度 · atk 武力 · brk 突破几率 · qi 修为 · mood 心情 · stone 灵石 · pill 丹药 · herb 灵草 · ore 灵材 · equips 法宝 · marry 结为道侣</t>
        </is>
      </c>
      <c r="C20" s="7" t="inlineStr">
        <is>
          <t>11 个键</t>
        </is>
      </c>
    </row>
    <row r="21">
      <c r="A21" s="11" t="inlineStr">
        <is>
          <t>效果施加方式（字面匹配）</t>
        </is>
      </c>
      <c r="B21" s="7" t="inlineStr">
        <is>
          <t>先把占位符替换成真实数字，再对渲染后的文案做子串匹配来决定加什么属性</t>
        </is>
      </c>
      <c r="C21" s="7" t="inlineStr">
        <is>
          <t>字符串包含判断</t>
        </is>
      </c>
    </row>
    <row r="22">
      <c r="A22" s="11" t="inlineStr">
        <is>
          <t>设计风险</t>
        </is>
      </c>
      <c r="B22" s="7" t="inlineStr">
        <is>
          <t>效果依赖文案字面匹配：改文案会静默改变效果；含多个关键词的文案会被重复计算。2026-09-12 已把 9 处「文案与实现不符」改写为一致，改写时保持匹配字串不变、效果零变更</t>
        </is>
      </c>
      <c r="C22" s="7" t="inlineStr">
        <is>
          <t>仅剩字面匹配路径（新增事件已不受影响）</t>
        </is>
      </c>
    </row>
    <row r="23">
      <c r="A23" s="11" t="inlineStr">
        <is>
          <t>文案对齐记录</t>
        </is>
      </c>
      <c r="B23" s="7" t="inlineStr">
        <is>
          <t>2026-09-12：9 条事件的文案改写为与实现一致。改写前用「同一状态快照 + 同一随机种子」对旧/新文案各跑一次 apply_event，逐项比对 qi / mood / atkBonus / brkBonus / qiRateB / lifespanBonus / stone / protect / pills / equip / 派生 atk，45 项断言全部零变更</t>
        </is>
      </c>
      <c r="C23" s="7" t="inlineStr">
        <is>
          <t>9 处</t>
        </is>
      </c>
    </row>
    <row r="24">
      <c r="A24" s="11" t="inlineStr">
        <is>
          <t>改文案用词约定</t>
        </is>
      </c>
      <c r="B24" s="7" t="inlineStr">
        <is>
          <t>需要表达“固定 +10% 武力”时写「武力 +一成（即 10%）」，不要写「武力 +10%」（会额外命中 +10% 规则、变成 +20%）；表达随机金额时不写具体数字，用 +一笔（数目随缘）之类措辞</t>
        </is>
      </c>
      <c r="C24" s="7" t="inlineStr">
        <is>
          <t>约定</t>
        </is>
      </c>
    </row>
    <row r="25">
      <c r="A25" s="11" t="inlineStr">
        <is>
          <t>2026-09-12 事件扩展</t>
        </is>
      </c>
      <c r="B25" s="7" t="inlineStr">
        <is>
          <t>随机事件由 29 条扩到 50 条：新增吉 8 / 凶 6 / 平常 5 / 情缘 2，全部走 eff 结构化；堕魔权重由 2 提到 4；总权重由 114 升到 205</t>
        </is>
      </c>
      <c r="C25" s="7" t="inlineStr">
        <is>
          <t>29 → 50 条</t>
        </is>
      </c>
    </row>
    <row r="26">
      <c r="A26" s="11" t="inlineStr">
        <is>
          <t>回归验证</t>
        </is>
      </c>
      <c r="B26" s="7" t="inlineStr">
        <is>
          <t>EffTest 63/63（eff 键派发、16 条新事件逐条增量、文案↔eff 一致性、旧路径零回归、越界保护）；LogicTest 112/112、UISmoke 108/108、AlignmentTest 45/45 全绿</t>
        </is>
      </c>
      <c r="C26" s="7" t="inlineStr">
        <is>
          <t>全绿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修仙门派 事件与效果总表</dc:title>
  <dcterms:created xsi:type="dcterms:W3CDTF">2026-09-12T10:11:36Z</dcterms:created>
  <dcterms:modified xsi:type="dcterms:W3CDTF">2026-09-12T10:11:36Z</dcterms:modified>
</cp:coreProperties>
</file>